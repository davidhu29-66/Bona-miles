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Time and Mileage Managment\"/>
    </mc:Choice>
  </mc:AlternateContent>
  <xr:revisionPtr revIDLastSave="0" documentId="8_{CA1B6792-1F90-FA49-B3D1-D80EC1E85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A8" i="1"/>
  <c r="A10" i="1"/>
  <c r="A12" i="1"/>
  <c r="A14" i="1"/>
  <c r="A16" i="1"/>
  <c r="A18" i="1"/>
  <c r="W1" i="1"/>
  <c r="Y19" i="1"/>
  <c r="Z19" i="1"/>
  <c r="AA19" i="1"/>
  <c r="W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B19" i="1"/>
  <c r="AA23" i="1"/>
  <c r="AA25" i="1"/>
  <c r="V19" i="1"/>
  <c r="X19" i="1"/>
  <c r="AA26" i="1"/>
</calcChain>
</file>

<file path=xl/sharedStrings.xml><?xml version="1.0" encoding="utf-8"?>
<sst xmlns="http://schemas.openxmlformats.org/spreadsheetml/2006/main" count="68" uniqueCount="47">
  <si>
    <t>NAME:</t>
  </si>
  <si>
    <t>REGION:</t>
  </si>
  <si>
    <t>Western Cape</t>
  </si>
  <si>
    <t>CLIENT:</t>
  </si>
  <si>
    <t>Admin</t>
  </si>
  <si>
    <t>TOTAL HOURS</t>
  </si>
  <si>
    <t>TOTAL KM'S</t>
  </si>
  <si>
    <t>JOB NO:</t>
  </si>
  <si>
    <t>DATE ¯</t>
  </si>
  <si>
    <t>HRS</t>
  </si>
  <si>
    <t>KM</t>
  </si>
  <si>
    <t>NOR</t>
  </si>
  <si>
    <t>O / T</t>
  </si>
  <si>
    <t>TOT</t>
  </si>
  <si>
    <t>CH</t>
  </si>
  <si>
    <t>ADM</t>
  </si>
  <si>
    <t>PVTE</t>
  </si>
  <si>
    <t>Monday</t>
  </si>
  <si>
    <t>Tuesday</t>
  </si>
  <si>
    <t>Wednesday</t>
  </si>
  <si>
    <t>Thursday</t>
  </si>
  <si>
    <t>Friday</t>
  </si>
  <si>
    <t>Saturday</t>
  </si>
  <si>
    <t>Sunday</t>
  </si>
  <si>
    <t>TOTAL WORKED</t>
  </si>
  <si>
    <t>OFFICE USE</t>
  </si>
  <si>
    <t>TOTAL CLAIMED</t>
  </si>
  <si>
    <t>OVERTIME AUTHORISED</t>
  </si>
  <si>
    <t>CLOSING KM'S</t>
  </si>
  <si>
    <t xml:space="preserve">INVOICE NO. </t>
  </si>
  <si>
    <t>OPENING KM'S</t>
  </si>
  <si>
    <t>OFFICE USE:</t>
  </si>
  <si>
    <t>KM'S TRAVELED</t>
  </si>
  <si>
    <t>CAPTURED:</t>
  </si>
  <si>
    <t>BY</t>
  </si>
  <si>
    <t>DATE</t>
  </si>
  <si>
    <t>SALARIES:</t>
  </si>
  <si>
    <t>Total CH/ADM</t>
  </si>
  <si>
    <t>SIGNATURE OF WORKER</t>
  </si>
  <si>
    <t>SIGNATURE OF MANAGER</t>
  </si>
  <si>
    <t>ACCOUNTS:</t>
  </si>
  <si>
    <t>VARIANCE</t>
  </si>
  <si>
    <t>WEEKLY TIME SHEET</t>
  </si>
  <si>
    <t>HR-018</t>
  </si>
  <si>
    <t>Rev 2</t>
  </si>
  <si>
    <t>Week Ending:</t>
  </si>
  <si>
    <t>David Hughes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</si>
</sst>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?"/>
    <numFmt numFmtId="165" formatCode="[$-1C09]dd/mmmm/yyyy;@"/>
    <numFmt numFmtId="166" formatCode="[$-1C09]dd/mmm/yyyy;@"/>
  </numFmts>
  <fonts count="21" x14ac:knownFonts="1">
    <font>
      <sz val="10"/>
      <color rgb="FF000000"/>
      <name val="Arial"/>
      <scheme val="minor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theme="1"/>
      <name val="Arial"/>
      <family val="2"/>
    </font>
    <font>
      <b/>
      <u/>
      <sz val="9"/>
      <color rgb="FF000000"/>
      <name val="Arial"/>
      <family val="2"/>
    </font>
    <font>
      <sz val="8"/>
      <color rgb="FF000000"/>
      <name val="Arial"/>
      <family val="2"/>
    </font>
    <font>
      <b/>
      <i/>
      <sz val="7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20"/>
      <color theme="1"/>
      <name val="Arial"/>
      <family val="2"/>
    </font>
    <font>
      <u/>
      <sz val="12"/>
      <color theme="1"/>
      <name val="Arial"/>
      <family val="2"/>
    </font>
    <font>
      <b/>
      <i/>
      <sz val="12"/>
      <color rgb="FF000000"/>
      <name val="Arial"/>
      <family val="2"/>
    </font>
    <font>
      <i/>
      <sz val="10"/>
      <color rgb="FF000000"/>
      <name val="Arial"/>
      <family val="2"/>
      <scheme val="minor"/>
    </font>
    <font>
      <b/>
      <sz val="8"/>
      <color rgb="FFFF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50505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indexed="64"/>
      </right>
      <top/>
      <bottom style="medium">
        <color rgb="FF000000"/>
      </bottom>
      <diagonal/>
    </border>
    <border>
      <left style="dashed">
        <color indexed="64"/>
      </left>
      <right style="medium">
        <color rgb="FF000000"/>
      </right>
      <top/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rgb="FF000000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 style="thin">
        <color rgb="FF000000"/>
      </bottom>
      <diagonal/>
    </border>
    <border>
      <left style="thin">
        <color rgb="FF505050"/>
      </left>
      <right style="dashed">
        <color indexed="64"/>
      </right>
      <top/>
      <bottom style="thin">
        <color rgb="FF505050"/>
      </bottom>
      <diagonal/>
    </border>
    <border>
      <left style="thin">
        <color rgb="FF505050"/>
      </left>
      <right style="dashed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dashed">
        <color indexed="64"/>
      </right>
      <top/>
      <bottom style="thin">
        <color rgb="FF000000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medium">
        <color rgb="FF000000"/>
      </bottom>
      <diagonal/>
    </border>
    <border>
      <left style="dashed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dashed">
        <color indexed="64"/>
      </right>
      <top/>
      <bottom style="medium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rgb="FF000000"/>
      </top>
      <bottom/>
      <diagonal/>
    </border>
    <border>
      <left style="dashed">
        <color indexed="64"/>
      </left>
      <right style="medium">
        <color rgb="FF000000"/>
      </right>
      <top style="thin">
        <color rgb="FF000000"/>
      </top>
      <bottom/>
      <diagonal/>
    </border>
    <border>
      <left style="dashed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ashed">
        <color indexed="64"/>
      </right>
      <top style="thin">
        <color rgb="FF000000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505050"/>
      </left>
      <right style="dashed">
        <color indexed="64"/>
      </right>
      <top style="thin">
        <color rgb="FF000000"/>
      </top>
      <bottom/>
      <diagonal/>
    </border>
    <border>
      <left style="thin">
        <color rgb="FF505050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rgb="FF505050"/>
      </right>
      <top style="thin">
        <color rgb="FF000000"/>
      </top>
      <bottom/>
      <diagonal/>
    </border>
    <border>
      <left style="dashed">
        <color indexed="64"/>
      </left>
      <right style="thin">
        <color rgb="FF505050"/>
      </right>
      <top/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1" xfId="0" applyFont="1" applyBorder="1" applyAlignment="1">
      <alignment horizontal="right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2" borderId="12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164" fontId="7" fillId="0" borderId="54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4" fontId="7" fillId="0" borderId="27" xfId="0" applyNumberFormat="1" applyFont="1" applyBorder="1" applyAlignment="1">
      <alignment horizontal="center" vertical="center"/>
    </xf>
    <xf numFmtId="164" fontId="7" fillId="0" borderId="56" xfId="0" applyNumberFormat="1" applyFont="1" applyBorder="1" applyAlignment="1">
      <alignment horizontal="center" vertical="center"/>
    </xf>
    <xf numFmtId="0" fontId="2" fillId="0" borderId="66" xfId="0" applyFont="1" applyBorder="1"/>
    <xf numFmtId="0" fontId="3" fillId="2" borderId="75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166" fontId="3" fillId="0" borderId="19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22" fontId="11" fillId="0" borderId="1" xfId="0" applyNumberFormat="1" applyFont="1" applyBorder="1" applyAlignment="1">
      <alignment horizontal="center" vertical="center"/>
    </xf>
    <xf numFmtId="22" fontId="11" fillId="0" borderId="3" xfId="0" applyNumberFormat="1" applyFont="1" applyBorder="1" applyAlignment="1">
      <alignment horizontal="center" vertical="center"/>
    </xf>
    <xf numFmtId="22" fontId="11" fillId="0" borderId="19" xfId="0" applyNumberFormat="1" applyFont="1" applyBorder="1" applyAlignment="1">
      <alignment horizontal="center" vertical="center"/>
    </xf>
    <xf numFmtId="22" fontId="11" fillId="0" borderId="0" xfId="0" applyNumberFormat="1" applyFont="1" applyAlignment="1">
      <alignment horizontal="center" vertical="center"/>
    </xf>
    <xf numFmtId="22" fontId="11" fillId="0" borderId="12" xfId="0" applyNumberFormat="1" applyFont="1" applyBorder="1" applyAlignment="1">
      <alignment horizontal="center" vertical="center"/>
    </xf>
    <xf numFmtId="22" fontId="11" fillId="0" borderId="14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18" xfId="0" applyBorder="1"/>
    <xf numFmtId="0" fontId="3" fillId="0" borderId="8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0" fillId="0" borderId="75" xfId="0" applyBorder="1"/>
    <xf numFmtId="0" fontId="3" fillId="0" borderId="72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9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/>
    <xf numFmtId="0" fontId="0" fillId="0" borderId="2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69" xfId="0" applyFont="1" applyBorder="1" applyAlignment="1">
      <alignment horizontal="center" vertical="center"/>
    </xf>
    <xf numFmtId="0" fontId="0" fillId="0" borderId="78" xfId="0" applyBorder="1"/>
    <xf numFmtId="0" fontId="3" fillId="0" borderId="85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7" fillId="0" borderId="38" xfId="0" applyFont="1" applyBorder="1" applyAlignment="1">
      <alignment horizontal="center" vertical="center"/>
    </xf>
    <xf numFmtId="0" fontId="0" fillId="0" borderId="17" xfId="0" applyBorder="1"/>
    <xf numFmtId="0" fontId="3" fillId="0" borderId="83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0" fillId="0" borderId="62" xfId="0" applyBorder="1"/>
    <xf numFmtId="0" fontId="3" fillId="0" borderId="15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15" fontId="17" fillId="0" borderId="3" xfId="0" applyNumberFormat="1" applyFont="1" applyBorder="1" applyAlignment="1">
      <alignment horizontal="left"/>
    </xf>
    <xf numFmtId="0" fontId="18" fillId="0" borderId="3" xfId="0" applyFont="1" applyBorder="1"/>
    <xf numFmtId="0" fontId="19" fillId="0" borderId="85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14" xfId="0" applyBorder="1"/>
    <xf numFmtId="0" fontId="3" fillId="0" borderId="57" xfId="0" applyFont="1" applyBorder="1" applyAlignment="1">
      <alignment horizontal="center" vertical="center"/>
    </xf>
    <xf numFmtId="0" fontId="0" fillId="0" borderId="55" xfId="0" applyBorder="1"/>
    <xf numFmtId="0" fontId="3" fillId="0" borderId="36" xfId="0" applyFont="1" applyBorder="1" applyAlignment="1">
      <alignment horizontal="center" vertical="center"/>
    </xf>
    <xf numFmtId="0" fontId="0" fillId="0" borderId="13" xfId="0" applyBorder="1"/>
    <xf numFmtId="0" fontId="3" fillId="0" borderId="38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0" fillId="0" borderId="64" xfId="0" applyBorder="1"/>
    <xf numFmtId="0" fontId="3" fillId="0" borderId="6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7" xfId="0" applyBorder="1"/>
    <xf numFmtId="0" fontId="3" fillId="0" borderId="80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0" fillId="0" borderId="2" xfId="0" applyBorder="1"/>
    <xf numFmtId="0" fontId="9" fillId="0" borderId="41" xfId="0" applyFont="1" applyBorder="1" applyAlignment="1">
      <alignment vertical="center"/>
    </xf>
    <xf numFmtId="0" fontId="0" fillId="0" borderId="33" xfId="0" applyBorder="1"/>
    <xf numFmtId="0" fontId="14" fillId="0" borderId="43" xfId="0" applyFont="1" applyBorder="1" applyAlignment="1">
      <alignment horizontal="center" vertical="center"/>
    </xf>
    <xf numFmtId="0" fontId="0" fillId="0" borderId="23" xfId="0" applyBorder="1"/>
    <xf numFmtId="0" fontId="0" fillId="0" borderId="21" xfId="0" applyBorder="1"/>
    <xf numFmtId="0" fontId="2" fillId="0" borderId="3" xfId="0" applyFont="1" applyBorder="1" applyAlignment="1">
      <alignment horizontal="right"/>
    </xf>
    <xf numFmtId="0" fontId="3" fillId="0" borderId="67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 wrapText="1"/>
    </xf>
    <xf numFmtId="0" fontId="0" fillId="0" borderId="65" xfId="0" applyBorder="1"/>
    <xf numFmtId="0" fontId="14" fillId="0" borderId="44" xfId="0" applyFont="1" applyBorder="1" applyAlignment="1">
      <alignment horizontal="center" vertical="center"/>
    </xf>
    <xf numFmtId="0" fontId="0" fillId="0" borderId="35" xfId="0" applyBorder="1"/>
    <xf numFmtId="0" fontId="0" fillId="0" borderId="32" xfId="0" applyBorder="1"/>
    <xf numFmtId="0" fontId="20" fillId="0" borderId="3" xfId="0" applyFont="1" applyBorder="1" applyAlignment="1">
      <alignment horizontal="right"/>
    </xf>
    <xf numFmtId="0" fontId="2" fillId="0" borderId="58" xfId="0" applyFont="1" applyBorder="1" applyAlignment="1">
      <alignment horizontal="left"/>
    </xf>
    <xf numFmtId="0" fontId="0" fillId="0" borderId="58" xfId="0" applyBorder="1"/>
    <xf numFmtId="0" fontId="3" fillId="0" borderId="94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0" fontId="0" fillId="0" borderId="60" xfId="0" applyBorder="1"/>
    <xf numFmtId="0" fontId="16" fillId="0" borderId="4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0" fillId="0" borderId="34" xfId="0" applyBorder="1"/>
    <xf numFmtId="0" fontId="12" fillId="0" borderId="36" xfId="0" applyFont="1" applyBorder="1" applyAlignment="1">
      <alignment vertical="center"/>
    </xf>
    <xf numFmtId="0" fontId="0" fillId="0" borderId="37" xfId="0" applyBorder="1"/>
    <xf numFmtId="0" fontId="0" fillId="0" borderId="36" xfId="0" applyBorder="1"/>
    <xf numFmtId="2" fontId="13" fillId="0" borderId="44" xfId="0" applyNumberFormat="1" applyFont="1" applyBorder="1" applyAlignment="1">
      <alignment horizontal="center" vertical="center"/>
    </xf>
    <xf numFmtId="2" fontId="13" fillId="0" borderId="39" xfId="0" applyNumberFormat="1" applyFont="1" applyBorder="1" applyAlignment="1">
      <alignment horizontal="center" vertical="center"/>
    </xf>
    <xf numFmtId="0" fontId="0" fillId="0" borderId="22" xfId="0" applyBorder="1"/>
    <xf numFmtId="2" fontId="10" fillId="0" borderId="18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0" fillId="0" borderId="30" xfId="0" applyBorder="1"/>
    <xf numFmtId="0" fontId="9" fillId="0" borderId="9" xfId="0" applyFont="1" applyBorder="1" applyAlignment="1">
      <alignment vertical="center"/>
    </xf>
    <xf numFmtId="0" fontId="0" fillId="0" borderId="12" xfId="0" applyBorder="1"/>
    <xf numFmtId="0" fontId="0" fillId="0" borderId="16" xfId="0" applyBorder="1"/>
    <xf numFmtId="0" fontId="12" fillId="0" borderId="45" xfId="0" applyFont="1" applyBorder="1" applyAlignment="1">
      <alignment vertical="center"/>
    </xf>
    <xf numFmtId="0" fontId="5" fillId="0" borderId="19" xfId="0" applyFont="1" applyBorder="1" applyAlignment="1">
      <alignment horizontal="left" vertical="top"/>
    </xf>
    <xf numFmtId="0" fontId="7" fillId="0" borderId="8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3" fillId="0" borderId="89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9" fillId="0" borderId="42" xfId="0" applyFont="1" applyBorder="1" applyAlignment="1">
      <alignment vertical="center"/>
    </xf>
    <xf numFmtId="0" fontId="3" fillId="0" borderId="79" xfId="0" applyFont="1" applyBorder="1" applyAlignment="1">
      <alignment horizontal="center" vertical="center"/>
    </xf>
    <xf numFmtId="2" fontId="10" fillId="0" borderId="50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7" fillId="0" borderId="9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15" xfId="0" applyBorder="1"/>
    <xf numFmtId="0" fontId="3" fillId="0" borderId="4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19" fillId="0" borderId="87" xfId="0" applyFont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0" fillId="0" borderId="77" xfId="0" applyBorder="1"/>
    <xf numFmtId="0" fontId="4" fillId="0" borderId="51" xfId="0" applyFont="1" applyBorder="1" applyAlignment="1">
      <alignment horizontal="center" vertical="center"/>
    </xf>
    <xf numFmtId="0" fontId="0" fillId="0" borderId="66" xfId="0" applyBorder="1"/>
    <xf numFmtId="0" fontId="4" fillId="2" borderId="51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51" xfId="0" applyFont="1" applyBorder="1" applyAlignment="1">
      <alignment vertical="center"/>
    </xf>
    <xf numFmtId="0" fontId="3" fillId="0" borderId="7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4" fillId="0" borderId="45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0" fontId="14" fillId="0" borderId="19" xfId="0" applyFont="1" applyBorder="1" applyAlignment="1">
      <alignment horizontal="right"/>
    </xf>
    <xf numFmtId="0" fontId="8" fillId="0" borderId="48" xfId="0" applyFont="1" applyBorder="1" applyAlignment="1">
      <alignment horizontal="left"/>
    </xf>
    <xf numFmtId="0" fontId="12" fillId="0" borderId="13" xfId="0" applyFont="1" applyBorder="1" applyAlignment="1">
      <alignment vertical="center"/>
    </xf>
    <xf numFmtId="0" fontId="3" fillId="0" borderId="5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128016</xdr:colOff>
      <xdr:row>27</xdr:row>
      <xdr:rowOff>48768</xdr:rowOff>
    </xdr:from>
    <xdr:to>
      <xdr:col>4</xdr:col>
      <xdr:colOff>75438</xdr:colOff>
      <xdr:row>31</xdr:row>
      <xdr:rowOff>76200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8016" y="5352288"/>
          <a:ext cx="1962150" cy="6858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workbookViewId="0">
      <selection activeCell="B1" sqref="B1:G1"/>
    </sheetView>
  </sheetViews>
  <sheetFormatPr defaultColWidth="12.67578125" defaultRowHeight="15" customHeight="1" x14ac:dyDescent="0.15"/>
  <cols>
    <col min="1" max="1" width="12.40625" bestFit="1" customWidth="1"/>
    <col min="2" max="2" width="5.12109375" customWidth="1"/>
    <col min="3" max="3" width="5.390625" customWidth="1"/>
    <col min="4" max="4" width="5.390625" style="26" customWidth="1"/>
    <col min="5" max="7" width="5.390625" customWidth="1"/>
    <col min="8" max="8" width="5.390625" style="26" customWidth="1"/>
    <col min="9" max="9" width="5.390625" style="25" customWidth="1"/>
    <col min="10" max="21" width="5.390625" customWidth="1"/>
    <col min="22" max="22" width="4.44921875" customWidth="1"/>
    <col min="23" max="23" width="4.71875" customWidth="1"/>
    <col min="24" max="24" width="5.2578125" customWidth="1"/>
    <col min="25" max="25" width="4.98828125" customWidth="1"/>
    <col min="26" max="28" width="4.71875" customWidth="1"/>
  </cols>
  <sheetData>
    <row r="1" spans="1:28" ht="21.75" customHeight="1" thickBot="1" x14ac:dyDescent="0.25">
      <c r="A1" s="1" t="s">
        <v>0</v>
      </c>
      <c r="B1" s="125" t="s">
        <v>46</v>
      </c>
      <c r="C1" s="126"/>
      <c r="D1" s="126"/>
      <c r="E1" s="126"/>
      <c r="F1" s="126"/>
      <c r="G1" s="126"/>
      <c r="H1" s="117" t="s">
        <v>1</v>
      </c>
      <c r="I1" s="63"/>
      <c r="J1" s="63"/>
      <c r="K1" s="125" t="s">
        <v>2</v>
      </c>
      <c r="L1" s="126"/>
      <c r="M1" s="126"/>
      <c r="N1" s="126"/>
      <c r="O1" s="126"/>
      <c r="P1" s="126"/>
      <c r="Q1" s="126"/>
      <c r="R1" s="126"/>
      <c r="S1" s="124" t="s">
        <v>45</v>
      </c>
      <c r="T1" s="63"/>
      <c r="U1" s="63"/>
      <c r="V1" s="63"/>
      <c r="W1" s="93">
        <f>A18</f>
        <v>46250</v>
      </c>
      <c r="X1" s="94"/>
      <c r="Y1" s="94"/>
      <c r="Z1" s="94"/>
      <c r="AA1" s="94"/>
      <c r="AB1" s="34"/>
    </row>
    <row r="2" spans="1:28" ht="26.25" customHeight="1" thickBot="1" x14ac:dyDescent="0.2">
      <c r="A2" s="2" t="s">
        <v>3</v>
      </c>
      <c r="B2" s="176" t="s">
        <v>4</v>
      </c>
      <c r="C2" s="72"/>
      <c r="D2" s="177"/>
      <c r="E2" s="71"/>
      <c r="F2" s="130"/>
      <c r="G2" s="131"/>
      <c r="H2" s="119"/>
      <c r="I2" s="105"/>
      <c r="J2" s="119"/>
      <c r="K2" s="120"/>
      <c r="L2" s="130"/>
      <c r="M2" s="131"/>
      <c r="N2" s="130"/>
      <c r="O2" s="131"/>
      <c r="P2" s="130"/>
      <c r="Q2" s="131"/>
      <c r="R2" s="106"/>
      <c r="S2" s="105"/>
      <c r="T2" s="188"/>
      <c r="U2" s="108"/>
      <c r="V2" s="175" t="s">
        <v>5</v>
      </c>
      <c r="W2" s="63"/>
      <c r="X2" s="64"/>
      <c r="Y2" s="173" t="s">
        <v>6</v>
      </c>
      <c r="Z2" s="63"/>
      <c r="AA2" s="63"/>
      <c r="AB2" s="174"/>
    </row>
    <row r="3" spans="1:28" ht="19.5" customHeight="1" thickBot="1" x14ac:dyDescent="0.2">
      <c r="A3" s="3" t="s">
        <v>7</v>
      </c>
      <c r="B3" s="187"/>
      <c r="C3" s="108"/>
      <c r="D3" s="110"/>
      <c r="E3" s="111"/>
      <c r="F3" s="89"/>
      <c r="G3" s="90"/>
      <c r="H3" s="104"/>
      <c r="I3" s="105"/>
      <c r="J3" s="119"/>
      <c r="K3" s="105"/>
      <c r="L3" s="104"/>
      <c r="M3" s="105"/>
      <c r="N3" s="104"/>
      <c r="O3" s="105"/>
      <c r="P3" s="118"/>
      <c r="Q3" s="105"/>
      <c r="R3" s="104"/>
      <c r="S3" s="105"/>
      <c r="T3" s="107"/>
      <c r="U3" s="108"/>
      <c r="V3" s="70"/>
      <c r="W3" s="71"/>
      <c r="X3" s="72"/>
      <c r="Y3" s="70"/>
      <c r="Z3" s="71"/>
      <c r="AA3" s="71"/>
      <c r="AB3" s="120"/>
    </row>
    <row r="4" spans="1:28" ht="19.5" customHeight="1" x14ac:dyDescent="0.15">
      <c r="A4" s="4" t="s">
        <v>8</v>
      </c>
      <c r="B4" s="37" t="s">
        <v>9</v>
      </c>
      <c r="C4" s="5" t="s">
        <v>10</v>
      </c>
      <c r="D4" s="28" t="s">
        <v>9</v>
      </c>
      <c r="E4" s="29" t="s">
        <v>10</v>
      </c>
      <c r="F4" s="36" t="s">
        <v>9</v>
      </c>
      <c r="G4" s="31" t="s">
        <v>10</v>
      </c>
      <c r="H4" s="35" t="s">
        <v>9</v>
      </c>
      <c r="I4" s="31" t="s">
        <v>10</v>
      </c>
      <c r="J4" s="35" t="s">
        <v>9</v>
      </c>
      <c r="K4" s="31" t="s">
        <v>10</v>
      </c>
      <c r="L4" s="35" t="s">
        <v>9</v>
      </c>
      <c r="M4" s="6" t="s">
        <v>10</v>
      </c>
      <c r="N4" s="35" t="s">
        <v>9</v>
      </c>
      <c r="O4" s="31" t="s">
        <v>10</v>
      </c>
      <c r="P4" s="35" t="s">
        <v>9</v>
      </c>
      <c r="Q4" s="31" t="s">
        <v>10</v>
      </c>
      <c r="R4" s="35" t="s">
        <v>9</v>
      </c>
      <c r="S4" s="31" t="s">
        <v>10</v>
      </c>
      <c r="T4" s="35" t="s">
        <v>9</v>
      </c>
      <c r="U4" s="5" t="s">
        <v>10</v>
      </c>
      <c r="V4" s="7" t="s">
        <v>11</v>
      </c>
      <c r="W4" s="8" t="s">
        <v>12</v>
      </c>
      <c r="X4" s="9" t="s">
        <v>13</v>
      </c>
      <c r="Y4" s="7" t="s">
        <v>14</v>
      </c>
      <c r="Z4" s="10" t="s">
        <v>15</v>
      </c>
      <c r="AA4" s="10" t="s">
        <v>16</v>
      </c>
      <c r="AB4" s="11" t="s">
        <v>13</v>
      </c>
    </row>
    <row r="5" spans="1:28" ht="12.75" customHeight="1" x14ac:dyDescent="0.15">
      <c r="A5" s="12" t="s">
        <v>17</v>
      </c>
      <c r="B5" s="73"/>
      <c r="C5" s="101"/>
      <c r="D5" s="73"/>
      <c r="E5" s="97"/>
      <c r="F5" s="171"/>
      <c r="G5" s="99"/>
      <c r="H5" s="58"/>
      <c r="I5" s="99"/>
      <c r="J5" s="58"/>
      <c r="K5" s="99"/>
      <c r="L5" s="58"/>
      <c r="M5" s="97"/>
      <c r="N5" s="58"/>
      <c r="O5" s="99"/>
      <c r="P5" s="58"/>
      <c r="Q5" s="99"/>
      <c r="R5" s="58"/>
      <c r="S5" s="99"/>
      <c r="T5" s="58"/>
      <c r="U5" s="101"/>
      <c r="V5" s="58"/>
      <c r="W5" s="103"/>
      <c r="X5" s="165"/>
      <c r="Y5" s="163"/>
      <c r="Z5" s="78"/>
      <c r="AA5" s="78"/>
      <c r="AB5" s="52"/>
    </row>
    <row r="6" spans="1:28" ht="12.75" customHeight="1" x14ac:dyDescent="0.15">
      <c r="A6" s="38">
        <v>46244</v>
      </c>
      <c r="B6" s="74"/>
      <c r="C6" s="102"/>
      <c r="D6" s="74"/>
      <c r="E6" s="98"/>
      <c r="F6" s="172"/>
      <c r="G6" s="100"/>
      <c r="H6" s="59"/>
      <c r="I6" s="100"/>
      <c r="J6" s="59"/>
      <c r="K6" s="100"/>
      <c r="L6" s="59"/>
      <c r="M6" s="98"/>
      <c r="N6" s="59"/>
      <c r="O6" s="100"/>
      <c r="P6" s="59"/>
      <c r="Q6" s="100"/>
      <c r="R6" s="59"/>
      <c r="S6" s="100"/>
      <c r="T6" s="59"/>
      <c r="U6" s="102"/>
      <c r="V6" s="59"/>
      <c r="W6" s="79"/>
      <c r="X6" s="164"/>
      <c r="Y6" s="164"/>
      <c r="Z6" s="79"/>
      <c r="AA6" s="79"/>
      <c r="AB6" s="53"/>
    </row>
    <row r="7" spans="1:28" ht="12.75" customHeight="1" x14ac:dyDescent="0.15">
      <c r="A7" s="12" t="s">
        <v>18</v>
      </c>
      <c r="B7" s="73"/>
      <c r="C7" s="101"/>
      <c r="D7" s="73"/>
      <c r="E7" s="97"/>
      <c r="F7" s="171"/>
      <c r="G7" s="99"/>
      <c r="H7" s="58"/>
      <c r="I7" s="99"/>
      <c r="J7" s="58"/>
      <c r="K7" s="99"/>
      <c r="L7" s="58"/>
      <c r="M7" s="97"/>
      <c r="N7" s="58"/>
      <c r="O7" s="99"/>
      <c r="P7" s="58"/>
      <c r="Q7" s="99"/>
      <c r="R7" s="58"/>
      <c r="S7" s="99"/>
      <c r="T7" s="58"/>
      <c r="U7" s="101"/>
      <c r="V7" s="165"/>
      <c r="W7" s="103"/>
      <c r="X7" s="97"/>
      <c r="Y7" s="163"/>
      <c r="Z7" s="78"/>
      <c r="AA7" s="78"/>
      <c r="AB7" s="52"/>
    </row>
    <row r="8" spans="1:28" ht="12.75" customHeight="1" x14ac:dyDescent="0.15">
      <c r="A8" s="38">
        <f>A6+1</f>
        <v>46245</v>
      </c>
      <c r="B8" s="74"/>
      <c r="C8" s="102"/>
      <c r="D8" s="74"/>
      <c r="E8" s="98"/>
      <c r="F8" s="172"/>
      <c r="G8" s="100"/>
      <c r="H8" s="59"/>
      <c r="I8" s="100"/>
      <c r="J8" s="59"/>
      <c r="K8" s="100"/>
      <c r="L8" s="59"/>
      <c r="M8" s="98"/>
      <c r="N8" s="59"/>
      <c r="O8" s="100"/>
      <c r="P8" s="59"/>
      <c r="Q8" s="100"/>
      <c r="R8" s="59"/>
      <c r="S8" s="100"/>
      <c r="T8" s="59"/>
      <c r="U8" s="102"/>
      <c r="V8" s="164"/>
      <c r="W8" s="79"/>
      <c r="X8" s="98"/>
      <c r="Y8" s="164"/>
      <c r="Z8" s="79"/>
      <c r="AA8" s="79"/>
      <c r="AB8" s="53"/>
    </row>
    <row r="9" spans="1:28" ht="12.75" customHeight="1" x14ac:dyDescent="0.15">
      <c r="A9" s="12" t="s">
        <v>19</v>
      </c>
      <c r="B9" s="73"/>
      <c r="C9" s="101"/>
      <c r="D9" s="73"/>
      <c r="E9" s="97"/>
      <c r="F9" s="171"/>
      <c r="G9" s="99"/>
      <c r="H9" s="58"/>
      <c r="I9" s="99"/>
      <c r="J9" s="58"/>
      <c r="K9" s="99"/>
      <c r="L9" s="58"/>
      <c r="M9" s="97"/>
      <c r="N9" s="58"/>
      <c r="O9" s="99"/>
      <c r="P9" s="58"/>
      <c r="Q9" s="99"/>
      <c r="R9" s="58"/>
      <c r="S9" s="99"/>
      <c r="T9" s="58"/>
      <c r="U9" s="101"/>
      <c r="V9" s="165"/>
      <c r="W9" s="103"/>
      <c r="X9" s="97"/>
      <c r="Y9" s="163"/>
      <c r="Z9" s="78"/>
      <c r="AA9" s="78"/>
      <c r="AB9" s="52"/>
    </row>
    <row r="10" spans="1:28" ht="12.75" customHeight="1" x14ac:dyDescent="0.15">
      <c r="A10" s="38">
        <f>A8+1</f>
        <v>46246</v>
      </c>
      <c r="B10" s="74"/>
      <c r="C10" s="102"/>
      <c r="D10" s="74"/>
      <c r="E10" s="98"/>
      <c r="F10" s="172"/>
      <c r="G10" s="100"/>
      <c r="H10" s="59"/>
      <c r="I10" s="100"/>
      <c r="J10" s="59"/>
      <c r="K10" s="100"/>
      <c r="L10" s="59"/>
      <c r="M10" s="98"/>
      <c r="N10" s="59"/>
      <c r="O10" s="100"/>
      <c r="P10" s="59"/>
      <c r="Q10" s="100"/>
      <c r="R10" s="59"/>
      <c r="S10" s="100"/>
      <c r="T10" s="59"/>
      <c r="U10" s="102"/>
      <c r="V10" s="164"/>
      <c r="W10" s="79"/>
      <c r="X10" s="98"/>
      <c r="Y10" s="164"/>
      <c r="Z10" s="79"/>
      <c r="AA10" s="79"/>
      <c r="AB10" s="53"/>
    </row>
    <row r="11" spans="1:28" ht="12.75" customHeight="1" x14ac:dyDescent="0.15">
      <c r="A11" s="12" t="s">
        <v>20</v>
      </c>
      <c r="B11" s="169"/>
      <c r="C11" s="95"/>
      <c r="D11" s="73"/>
      <c r="E11" s="97"/>
      <c r="F11" s="171"/>
      <c r="G11" s="99"/>
      <c r="H11" s="58"/>
      <c r="I11" s="99"/>
      <c r="J11" s="58"/>
      <c r="K11" s="99"/>
      <c r="L11" s="58"/>
      <c r="M11" s="97"/>
      <c r="N11" s="54"/>
      <c r="O11" s="60"/>
      <c r="P11" s="54"/>
      <c r="Q11" s="60"/>
      <c r="R11" s="54"/>
      <c r="S11" s="60"/>
      <c r="T11" s="54"/>
      <c r="U11" s="75"/>
      <c r="V11" s="84"/>
      <c r="W11" s="156"/>
      <c r="X11" s="86"/>
      <c r="Y11" s="150"/>
      <c r="Z11" s="82"/>
      <c r="AA11" s="82"/>
      <c r="AB11" s="86"/>
    </row>
    <row r="12" spans="1:28" ht="12.75" customHeight="1" x14ac:dyDescent="0.15">
      <c r="A12" s="38">
        <f>A10+1</f>
        <v>46247</v>
      </c>
      <c r="B12" s="170"/>
      <c r="C12" s="96"/>
      <c r="D12" s="74"/>
      <c r="E12" s="98"/>
      <c r="F12" s="172"/>
      <c r="G12" s="100"/>
      <c r="H12" s="59"/>
      <c r="I12" s="100"/>
      <c r="J12" s="59"/>
      <c r="K12" s="100"/>
      <c r="L12" s="59"/>
      <c r="M12" s="98"/>
      <c r="N12" s="55"/>
      <c r="O12" s="81"/>
      <c r="P12" s="55"/>
      <c r="Q12" s="81"/>
      <c r="R12" s="55"/>
      <c r="S12" s="81"/>
      <c r="T12" s="55"/>
      <c r="U12" s="76"/>
      <c r="V12" s="91"/>
      <c r="W12" s="166"/>
      <c r="X12" s="88"/>
      <c r="Y12" s="151"/>
      <c r="Z12" s="83"/>
      <c r="AA12" s="83"/>
      <c r="AB12" s="88"/>
    </row>
    <row r="13" spans="1:28" ht="12.75" customHeight="1" x14ac:dyDescent="0.15">
      <c r="A13" s="12" t="s">
        <v>21</v>
      </c>
      <c r="B13" s="167"/>
      <c r="C13" s="75"/>
      <c r="D13" s="73"/>
      <c r="E13" s="97"/>
      <c r="F13" s="171"/>
      <c r="G13" s="99"/>
      <c r="H13" s="58"/>
      <c r="I13" s="99"/>
      <c r="J13" s="58"/>
      <c r="K13" s="99"/>
      <c r="L13" s="58"/>
      <c r="M13" s="97"/>
      <c r="N13" s="54"/>
      <c r="O13" s="60"/>
      <c r="P13" s="54"/>
      <c r="Q13" s="60"/>
      <c r="R13" s="54"/>
      <c r="S13" s="60"/>
      <c r="T13" s="54"/>
      <c r="U13" s="75"/>
      <c r="V13" s="84"/>
      <c r="W13" s="156"/>
      <c r="X13" s="86"/>
      <c r="Y13" s="150"/>
      <c r="Z13" s="82"/>
      <c r="AA13" s="82"/>
      <c r="AB13" s="86"/>
    </row>
    <row r="14" spans="1:28" ht="12.75" customHeight="1" x14ac:dyDescent="0.15">
      <c r="A14" s="38">
        <f>A12+1</f>
        <v>46248</v>
      </c>
      <c r="B14" s="182"/>
      <c r="C14" s="76"/>
      <c r="D14" s="74"/>
      <c r="E14" s="98"/>
      <c r="F14" s="172"/>
      <c r="G14" s="100"/>
      <c r="H14" s="59"/>
      <c r="I14" s="100"/>
      <c r="J14" s="59"/>
      <c r="K14" s="100"/>
      <c r="L14" s="59"/>
      <c r="M14" s="98"/>
      <c r="N14" s="55"/>
      <c r="O14" s="81"/>
      <c r="P14" s="55"/>
      <c r="Q14" s="81"/>
      <c r="R14" s="55"/>
      <c r="S14" s="81"/>
      <c r="T14" s="55"/>
      <c r="U14" s="76"/>
      <c r="V14" s="91"/>
      <c r="W14" s="166"/>
      <c r="X14" s="88"/>
      <c r="Y14" s="151"/>
      <c r="Z14" s="83"/>
      <c r="AA14" s="83"/>
      <c r="AB14" s="88"/>
    </row>
    <row r="15" spans="1:28" ht="12.75" customHeight="1" x14ac:dyDescent="0.15">
      <c r="A15" s="12" t="s">
        <v>22</v>
      </c>
      <c r="B15" s="167"/>
      <c r="C15" s="75"/>
      <c r="D15" s="167"/>
      <c r="E15" s="60"/>
      <c r="F15" s="54"/>
      <c r="G15" s="60"/>
      <c r="H15" s="54"/>
      <c r="I15" s="60"/>
      <c r="J15" s="54"/>
      <c r="K15" s="60"/>
      <c r="L15" s="54"/>
      <c r="M15" s="60"/>
      <c r="N15" s="54"/>
      <c r="O15" s="60"/>
      <c r="P15" s="54"/>
      <c r="Q15" s="60"/>
      <c r="R15" s="54"/>
      <c r="S15" s="60"/>
      <c r="T15" s="54"/>
      <c r="U15" s="75"/>
      <c r="V15" s="84"/>
      <c r="W15" s="156"/>
      <c r="X15" s="86"/>
      <c r="Y15" s="150"/>
      <c r="Z15" s="82"/>
      <c r="AA15" s="82"/>
      <c r="AB15" s="86"/>
    </row>
    <row r="16" spans="1:28" ht="12.75" customHeight="1" x14ac:dyDescent="0.15">
      <c r="A16" s="38">
        <f>A14+1</f>
        <v>46249</v>
      </c>
      <c r="B16" s="182"/>
      <c r="C16" s="76"/>
      <c r="D16" s="182"/>
      <c r="E16" s="81"/>
      <c r="F16" s="55"/>
      <c r="G16" s="81"/>
      <c r="H16" s="55"/>
      <c r="I16" s="179"/>
      <c r="J16" s="55"/>
      <c r="K16" s="81"/>
      <c r="L16" s="55"/>
      <c r="M16" s="81"/>
      <c r="N16" s="55"/>
      <c r="O16" s="81"/>
      <c r="P16" s="55"/>
      <c r="Q16" s="81"/>
      <c r="R16" s="55"/>
      <c r="S16" s="81"/>
      <c r="T16" s="55"/>
      <c r="U16" s="76"/>
      <c r="V16" s="91"/>
      <c r="W16" s="166"/>
      <c r="X16" s="88"/>
      <c r="Y16" s="151"/>
      <c r="Z16" s="83"/>
      <c r="AA16" s="83"/>
      <c r="AB16" s="88"/>
    </row>
    <row r="17" spans="1:28" ht="12.75" customHeight="1" x14ac:dyDescent="0.15">
      <c r="A17" s="12" t="s">
        <v>23</v>
      </c>
      <c r="B17" s="167"/>
      <c r="C17" s="75"/>
      <c r="D17" s="167"/>
      <c r="E17" s="56"/>
      <c r="F17" s="127"/>
      <c r="G17" s="60"/>
      <c r="H17" s="54"/>
      <c r="I17" s="183"/>
      <c r="J17" s="54"/>
      <c r="K17" s="60"/>
      <c r="L17" s="54"/>
      <c r="M17" s="60"/>
      <c r="N17" s="54"/>
      <c r="O17" s="60"/>
      <c r="P17" s="54"/>
      <c r="Q17" s="60"/>
      <c r="R17" s="54"/>
      <c r="S17" s="60"/>
      <c r="T17" s="54"/>
      <c r="U17" s="75"/>
      <c r="V17" s="84"/>
      <c r="W17" s="156"/>
      <c r="X17" s="86"/>
      <c r="Y17" s="150"/>
      <c r="Z17" s="82"/>
      <c r="AA17" s="82"/>
      <c r="AB17" s="86"/>
    </row>
    <row r="18" spans="1:28" ht="12.75" customHeight="1" thickBot="1" x14ac:dyDescent="0.2">
      <c r="A18" s="38">
        <f>A16+1</f>
        <v>46250</v>
      </c>
      <c r="B18" s="168"/>
      <c r="C18" s="129"/>
      <c r="D18" s="168"/>
      <c r="E18" s="57"/>
      <c r="F18" s="128"/>
      <c r="G18" s="61"/>
      <c r="H18" s="159"/>
      <c r="I18" s="109"/>
      <c r="J18" s="80"/>
      <c r="K18" s="109"/>
      <c r="L18" s="80"/>
      <c r="M18" s="109"/>
      <c r="N18" s="159"/>
      <c r="O18" s="61"/>
      <c r="P18" s="159"/>
      <c r="Q18" s="109"/>
      <c r="R18" s="80"/>
      <c r="S18" s="109"/>
      <c r="T18" s="80"/>
      <c r="U18" s="129"/>
      <c r="V18" s="85"/>
      <c r="W18" s="157"/>
      <c r="X18" s="87"/>
      <c r="Y18" s="162"/>
      <c r="Z18" s="92"/>
      <c r="AA18" s="92"/>
      <c r="AB18" s="87"/>
    </row>
    <row r="19" spans="1:28" ht="12.75" customHeight="1" thickTop="1" thickBot="1" x14ac:dyDescent="0.2">
      <c r="A19" s="24" t="s">
        <v>24</v>
      </c>
      <c r="B19" s="13">
        <f t="shared" ref="B19:AA19" si="0">SUM(B5:B18)</f>
        <v>0</v>
      </c>
      <c r="C19" s="13">
        <f t="shared" si="0"/>
        <v>0</v>
      </c>
      <c r="D19" s="13">
        <f t="shared" si="0"/>
        <v>0</v>
      </c>
      <c r="E19" s="30">
        <f t="shared" si="0"/>
        <v>0</v>
      </c>
      <c r="F19" s="30">
        <f t="shared" si="0"/>
        <v>0</v>
      </c>
      <c r="G19" s="30">
        <f t="shared" si="0"/>
        <v>0</v>
      </c>
      <c r="H19" s="30">
        <f t="shared" si="0"/>
        <v>0</v>
      </c>
      <c r="I19" s="13">
        <f t="shared" si="0"/>
        <v>0</v>
      </c>
      <c r="J19" s="13">
        <f t="shared" si="0"/>
        <v>0</v>
      </c>
      <c r="K19" s="13">
        <f t="shared" si="0"/>
        <v>0</v>
      </c>
      <c r="L19" s="13">
        <f t="shared" si="0"/>
        <v>0</v>
      </c>
      <c r="M19" s="13">
        <f t="shared" si="0"/>
        <v>0</v>
      </c>
      <c r="N19" s="30">
        <f t="shared" si="0"/>
        <v>0</v>
      </c>
      <c r="O19" s="30">
        <f t="shared" si="0"/>
        <v>0</v>
      </c>
      <c r="P19" s="30">
        <f t="shared" si="0"/>
        <v>0</v>
      </c>
      <c r="Q19" s="33">
        <f t="shared" si="0"/>
        <v>0</v>
      </c>
      <c r="R19" s="32">
        <f t="shared" si="0"/>
        <v>0</v>
      </c>
      <c r="S19" s="13">
        <f t="shared" si="0"/>
        <v>0</v>
      </c>
      <c r="T19" s="13">
        <f t="shared" si="0"/>
        <v>0</v>
      </c>
      <c r="U19" s="13">
        <f t="shared" si="0"/>
        <v>0</v>
      </c>
      <c r="V19" s="14">
        <f t="shared" si="0"/>
        <v>0</v>
      </c>
      <c r="W19" s="15">
        <f t="shared" si="0"/>
        <v>0</v>
      </c>
      <c r="X19" s="14">
        <f t="shared" si="0"/>
        <v>0</v>
      </c>
      <c r="Y19" s="16">
        <f t="shared" si="0"/>
        <v>0</v>
      </c>
      <c r="Z19" s="16">
        <f t="shared" si="0"/>
        <v>0</v>
      </c>
      <c r="AA19" s="16">
        <f t="shared" si="0"/>
        <v>0</v>
      </c>
      <c r="AB19" s="16">
        <f>SUM(Y19:AA19)</f>
        <v>0</v>
      </c>
    </row>
    <row r="20" spans="1:28" ht="12.75" customHeight="1" thickBot="1" x14ac:dyDescent="0.2">
      <c r="A20" s="185" t="s">
        <v>25</v>
      </c>
      <c r="B20" s="68"/>
      <c r="C20" s="68"/>
      <c r="D20" s="66"/>
      <c r="E20" s="68"/>
      <c r="F20" s="68"/>
      <c r="G20" s="68"/>
      <c r="H20" s="66"/>
      <c r="I20" s="67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9"/>
    </row>
    <row r="21" spans="1:28" ht="22.5" customHeight="1" x14ac:dyDescent="0.15">
      <c r="A21" s="17" t="s">
        <v>26</v>
      </c>
      <c r="B21" s="18"/>
      <c r="C21" s="19"/>
      <c r="D21" s="18"/>
      <c r="E21" s="19"/>
      <c r="F21" s="18"/>
      <c r="G21" s="18"/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153" t="s">
        <v>27</v>
      </c>
      <c r="W21" s="154"/>
      <c r="X21" s="155"/>
      <c r="Y21" s="143" t="s">
        <v>28</v>
      </c>
      <c r="Z21" s="144"/>
      <c r="AA21" s="160"/>
      <c r="AB21" s="155"/>
    </row>
    <row r="22" spans="1:28" ht="21.75" customHeight="1" thickBot="1" x14ac:dyDescent="0.2">
      <c r="A22" s="21" t="s">
        <v>29</v>
      </c>
      <c r="B22" s="152"/>
      <c r="C22" s="113"/>
      <c r="D22" s="152"/>
      <c r="E22" s="113"/>
      <c r="F22" s="152"/>
      <c r="G22" s="113"/>
      <c r="H22" s="152"/>
      <c r="I22" s="113"/>
      <c r="J22" s="112"/>
      <c r="K22" s="113"/>
      <c r="L22" s="112"/>
      <c r="M22" s="113"/>
      <c r="N22" s="112"/>
      <c r="O22" s="113"/>
      <c r="P22" s="112"/>
      <c r="Q22" s="113"/>
      <c r="R22" s="112"/>
      <c r="S22" s="113"/>
      <c r="T22" s="158"/>
      <c r="U22" s="72"/>
      <c r="V22" s="145"/>
      <c r="W22" s="71"/>
      <c r="X22" s="71"/>
      <c r="Y22" s="134" t="s">
        <v>30</v>
      </c>
      <c r="Z22" s="135"/>
      <c r="AA22" s="142"/>
      <c r="AB22" s="102"/>
    </row>
    <row r="23" spans="1:28" ht="11.25" customHeight="1" x14ac:dyDescent="0.15">
      <c r="A23" s="46"/>
      <c r="B23" s="47"/>
      <c r="C23" s="47"/>
      <c r="D23" s="39">
        <f>A18+1</f>
        <v>46251</v>
      </c>
      <c r="E23" s="40"/>
      <c r="F23" s="41"/>
      <c r="G23" s="133"/>
      <c r="H23" s="63"/>
      <c r="I23" s="63"/>
      <c r="J23" s="63"/>
      <c r="K23" s="63"/>
      <c r="L23" s="63"/>
      <c r="M23" s="63"/>
      <c r="N23" s="64"/>
      <c r="O23" s="180" t="s">
        <v>31</v>
      </c>
      <c r="P23" s="63"/>
      <c r="Q23" s="63"/>
      <c r="R23" s="63"/>
      <c r="S23" s="63"/>
      <c r="T23" s="63"/>
      <c r="U23" s="63"/>
      <c r="V23" s="63"/>
      <c r="W23" s="63"/>
      <c r="X23" s="63"/>
      <c r="Y23" s="134" t="s">
        <v>32</v>
      </c>
      <c r="Z23" s="116"/>
      <c r="AA23" s="140">
        <f>AB19</f>
        <v>0</v>
      </c>
      <c r="AB23" s="122"/>
    </row>
    <row r="24" spans="1:28" ht="14.25" customHeight="1" x14ac:dyDescent="0.15">
      <c r="A24" s="48"/>
      <c r="B24" s="49"/>
      <c r="C24" s="49"/>
      <c r="D24" s="42"/>
      <c r="E24" s="42"/>
      <c r="F24" s="43"/>
      <c r="G24" s="65"/>
      <c r="H24" s="66"/>
      <c r="I24" s="67"/>
      <c r="J24" s="68"/>
      <c r="K24" s="68"/>
      <c r="L24" s="68"/>
      <c r="M24" s="68"/>
      <c r="N24" s="69"/>
      <c r="O24" s="149" t="s">
        <v>33</v>
      </c>
      <c r="P24" s="68"/>
      <c r="Q24" s="77"/>
      <c r="R24" s="68"/>
      <c r="S24" s="22" t="s">
        <v>34</v>
      </c>
      <c r="T24" s="77"/>
      <c r="U24" s="68"/>
      <c r="V24" s="68"/>
      <c r="W24" s="23" t="s">
        <v>35</v>
      </c>
      <c r="X24" s="27"/>
      <c r="Y24" s="146"/>
      <c r="Z24" s="147"/>
      <c r="AA24" s="141"/>
      <c r="AB24" s="102"/>
    </row>
    <row r="25" spans="1:28" ht="25.5" customHeight="1" x14ac:dyDescent="0.15">
      <c r="A25" s="50"/>
      <c r="B25" s="51"/>
      <c r="C25" s="51"/>
      <c r="D25" s="44"/>
      <c r="E25" s="44"/>
      <c r="F25" s="45"/>
      <c r="G25" s="65"/>
      <c r="H25" s="66"/>
      <c r="I25" s="67"/>
      <c r="J25" s="68"/>
      <c r="K25" s="68"/>
      <c r="L25" s="68"/>
      <c r="M25" s="68"/>
      <c r="N25" s="69"/>
      <c r="O25" s="184" t="s">
        <v>36</v>
      </c>
      <c r="P25" s="68"/>
      <c r="Q25" s="186"/>
      <c r="R25" s="98"/>
      <c r="S25" s="98"/>
      <c r="T25" s="98"/>
      <c r="U25" s="98"/>
      <c r="V25" s="98"/>
      <c r="W25" s="98"/>
      <c r="X25" s="102"/>
      <c r="Y25" s="134" t="s">
        <v>37</v>
      </c>
      <c r="Z25" s="135"/>
      <c r="AA25" s="140">
        <f>Y19+Z19</f>
        <v>0</v>
      </c>
      <c r="AB25" s="138"/>
    </row>
    <row r="26" spans="1:28" ht="22.5" customHeight="1" thickBot="1" x14ac:dyDescent="0.2">
      <c r="A26" s="114" t="s">
        <v>38</v>
      </c>
      <c r="B26" s="115"/>
      <c r="C26" s="116"/>
      <c r="D26" s="121" t="s">
        <v>35</v>
      </c>
      <c r="E26" s="115"/>
      <c r="F26" s="122"/>
      <c r="G26" s="114" t="s">
        <v>39</v>
      </c>
      <c r="H26" s="115"/>
      <c r="I26" s="115"/>
      <c r="J26" s="115"/>
      <c r="K26" s="116"/>
      <c r="L26" s="121" t="s">
        <v>35</v>
      </c>
      <c r="M26" s="115"/>
      <c r="N26" s="122"/>
      <c r="O26" s="184" t="s">
        <v>40</v>
      </c>
      <c r="P26" s="68"/>
      <c r="Q26" s="136"/>
      <c r="R26" s="137"/>
      <c r="S26" s="137"/>
      <c r="T26" s="137"/>
      <c r="U26" s="137"/>
      <c r="V26" s="137"/>
      <c r="W26" s="137"/>
      <c r="X26" s="138"/>
      <c r="Y26" s="161" t="s">
        <v>41</v>
      </c>
      <c r="Z26" s="116"/>
      <c r="AA26" s="139">
        <f>AA23-AA25</f>
        <v>0</v>
      </c>
      <c r="AB26" s="122"/>
    </row>
    <row r="27" spans="1:28" ht="3.75" customHeight="1" x14ac:dyDescent="0.15">
      <c r="A27" s="70"/>
      <c r="B27" s="71"/>
      <c r="C27" s="113"/>
      <c r="D27" s="123"/>
      <c r="E27" s="71"/>
      <c r="F27" s="72"/>
      <c r="G27" s="70"/>
      <c r="H27" s="71"/>
      <c r="I27" s="71"/>
      <c r="J27" s="71"/>
      <c r="K27" s="113"/>
      <c r="L27" s="123"/>
      <c r="M27" s="71"/>
      <c r="N27" s="72"/>
      <c r="O27" s="148"/>
      <c r="P27" s="71"/>
      <c r="Q27" s="71"/>
      <c r="R27" s="71"/>
      <c r="S27" s="71"/>
      <c r="T27" s="71"/>
      <c r="U27" s="71"/>
      <c r="V27" s="71"/>
      <c r="W27" s="71"/>
      <c r="X27" s="72"/>
      <c r="Y27" s="70"/>
      <c r="Z27" s="113"/>
      <c r="AA27" s="123"/>
      <c r="AB27" s="72"/>
    </row>
    <row r="28" spans="1:28" ht="12.75" customHeight="1" x14ac:dyDescent="0.15">
      <c r="A28" s="178"/>
      <c r="B28" s="63"/>
      <c r="C28" s="63"/>
      <c r="D28" s="63"/>
      <c r="E28" s="63"/>
      <c r="F28" s="64"/>
      <c r="G28" s="62" t="s">
        <v>42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4"/>
      <c r="X28" s="132" t="s">
        <v>43</v>
      </c>
      <c r="Y28" s="68"/>
      <c r="Z28" s="68"/>
      <c r="AA28" s="68"/>
      <c r="AB28" s="69"/>
    </row>
    <row r="29" spans="1:28" ht="12.75" customHeight="1" x14ac:dyDescent="0.15">
      <c r="A29" s="65"/>
      <c r="B29" s="68"/>
      <c r="C29" s="68"/>
      <c r="D29" s="66"/>
      <c r="E29" s="68"/>
      <c r="F29" s="69"/>
      <c r="G29" s="65"/>
      <c r="H29" s="66"/>
      <c r="I29" s="67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9"/>
      <c r="X29" s="65"/>
      <c r="Y29" s="68"/>
      <c r="Z29" s="68"/>
      <c r="AA29" s="68"/>
      <c r="AB29" s="69"/>
    </row>
    <row r="30" spans="1:28" ht="12.75" customHeight="1" x14ac:dyDescent="0.15">
      <c r="A30" s="65"/>
      <c r="B30" s="68"/>
      <c r="C30" s="68"/>
      <c r="D30" s="66"/>
      <c r="E30" s="68"/>
      <c r="F30" s="69"/>
      <c r="G30" s="65"/>
      <c r="H30" s="66"/>
      <c r="I30" s="67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9"/>
      <c r="X30" s="65"/>
      <c r="Y30" s="68"/>
      <c r="Z30" s="68"/>
      <c r="AA30" s="68"/>
      <c r="AB30" s="69"/>
    </row>
    <row r="31" spans="1:28" ht="12.75" customHeight="1" x14ac:dyDescent="0.15">
      <c r="A31" s="65"/>
      <c r="B31" s="68"/>
      <c r="C31" s="68"/>
      <c r="D31" s="66"/>
      <c r="E31" s="68"/>
      <c r="F31" s="69"/>
      <c r="G31" s="65"/>
      <c r="H31" s="66"/>
      <c r="I31" s="67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9"/>
      <c r="X31" s="181" t="s">
        <v>44</v>
      </c>
      <c r="Y31" s="68"/>
      <c r="Z31" s="68"/>
      <c r="AA31" s="68"/>
      <c r="AB31" s="69"/>
    </row>
    <row r="32" spans="1:28" ht="12.75" customHeight="1" x14ac:dyDescent="0.15">
      <c r="A32" s="70"/>
      <c r="B32" s="71"/>
      <c r="C32" s="71"/>
      <c r="D32" s="71"/>
      <c r="E32" s="71"/>
      <c r="F32" s="72"/>
      <c r="G32" s="70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2"/>
      <c r="X32" s="70"/>
      <c r="Y32" s="71"/>
      <c r="Z32" s="71"/>
      <c r="AA32" s="71"/>
      <c r="AB32" s="72"/>
    </row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259">
    <mergeCell ref="L2:M2"/>
    <mergeCell ref="H9:H10"/>
    <mergeCell ref="R13:R14"/>
    <mergeCell ref="Q25:X25"/>
    <mergeCell ref="J9:J10"/>
    <mergeCell ref="B22:C22"/>
    <mergeCell ref="D22:E22"/>
    <mergeCell ref="M7:M8"/>
    <mergeCell ref="R15:R16"/>
    <mergeCell ref="H11:H12"/>
    <mergeCell ref="N22:O22"/>
    <mergeCell ref="J11:J12"/>
    <mergeCell ref="P22:Q22"/>
    <mergeCell ref="L5:L6"/>
    <mergeCell ref="L3:M3"/>
    <mergeCell ref="N5:N6"/>
    <mergeCell ref="N3:O3"/>
    <mergeCell ref="B3:C3"/>
    <mergeCell ref="T2:U2"/>
    <mergeCell ref="J22:K22"/>
    <mergeCell ref="N15:N16"/>
    <mergeCell ref="L22:M22"/>
    <mergeCell ref="F11:F12"/>
    <mergeCell ref="H3:I3"/>
    <mergeCell ref="B13:B14"/>
    <mergeCell ref="D13:D14"/>
    <mergeCell ref="D7:D8"/>
    <mergeCell ref="I17:I18"/>
    <mergeCell ref="O26:P26"/>
    <mergeCell ref="P7:P8"/>
    <mergeCell ref="B15:B16"/>
    <mergeCell ref="G5:G6"/>
    <mergeCell ref="D15:D16"/>
    <mergeCell ref="F13:F14"/>
    <mergeCell ref="H13:H14"/>
    <mergeCell ref="O25:P25"/>
    <mergeCell ref="M17:M18"/>
    <mergeCell ref="H15:H16"/>
    <mergeCell ref="O5:O6"/>
    <mergeCell ref="C17:C18"/>
    <mergeCell ref="C5:C6"/>
    <mergeCell ref="E5:E6"/>
    <mergeCell ref="D26:F27"/>
    <mergeCell ref="A20:AB20"/>
    <mergeCell ref="M15:M16"/>
    <mergeCell ref="K11:K12"/>
    <mergeCell ref="N17:N18"/>
    <mergeCell ref="S13:S14"/>
    <mergeCell ref="A28:F32"/>
    <mergeCell ref="T15:T16"/>
    <mergeCell ref="K9:K10"/>
    <mergeCell ref="M9:M10"/>
    <mergeCell ref="W13:W14"/>
    <mergeCell ref="O9:O10"/>
    <mergeCell ref="I15:I16"/>
    <mergeCell ref="F7:F8"/>
    <mergeCell ref="K15:K16"/>
    <mergeCell ref="U15:U16"/>
    <mergeCell ref="W15:W16"/>
    <mergeCell ref="P9:P10"/>
    <mergeCell ref="E13:E14"/>
    <mergeCell ref="G13:G14"/>
    <mergeCell ref="B17:B18"/>
    <mergeCell ref="O23:X23"/>
    <mergeCell ref="T17:T18"/>
    <mergeCell ref="V11:V12"/>
    <mergeCell ref="X31:AB32"/>
    <mergeCell ref="D9:D10"/>
    <mergeCell ref="N13:N14"/>
    <mergeCell ref="P13:P14"/>
    <mergeCell ref="K17:K18"/>
    <mergeCell ref="F9:F10"/>
    <mergeCell ref="B1:G1"/>
    <mergeCell ref="D17:D18"/>
    <mergeCell ref="B11:B12"/>
    <mergeCell ref="G7:G8"/>
    <mergeCell ref="I7:I8"/>
    <mergeCell ref="D11:D12"/>
    <mergeCell ref="F5:F6"/>
    <mergeCell ref="AB9:AB10"/>
    <mergeCell ref="AA15:AA16"/>
    <mergeCell ref="Y2:AB3"/>
    <mergeCell ref="S7:S8"/>
    <mergeCell ref="P11:P12"/>
    <mergeCell ref="U7:U8"/>
    <mergeCell ref="T9:T10"/>
    <mergeCell ref="W7:W8"/>
    <mergeCell ref="V2:X3"/>
    <mergeCell ref="B2:C2"/>
    <mergeCell ref="V9:V10"/>
    <mergeCell ref="D2:E2"/>
    <mergeCell ref="H17:H18"/>
    <mergeCell ref="M13:M14"/>
    <mergeCell ref="N2:O2"/>
    <mergeCell ref="R17:R18"/>
    <mergeCell ref="P2:Q2"/>
    <mergeCell ref="W5:W6"/>
    <mergeCell ref="Y9:Y10"/>
    <mergeCell ref="Y5:Y6"/>
    <mergeCell ref="AA9:AA10"/>
    <mergeCell ref="M11:M12"/>
    <mergeCell ref="R7:R8"/>
    <mergeCell ref="T7:T8"/>
    <mergeCell ref="V7:V8"/>
    <mergeCell ref="Q11:Q12"/>
    <mergeCell ref="Y7:Y8"/>
    <mergeCell ref="AA7:AA8"/>
    <mergeCell ref="W11:W12"/>
    <mergeCell ref="T11:T12"/>
    <mergeCell ref="Q5:Q6"/>
    <mergeCell ref="X5:X6"/>
    <mergeCell ref="Z5:Z6"/>
    <mergeCell ref="Y11:Y12"/>
    <mergeCell ref="AA5:AA6"/>
    <mergeCell ref="Z11:Z12"/>
    <mergeCell ref="P17:P18"/>
    <mergeCell ref="B9:B10"/>
    <mergeCell ref="C7:C8"/>
    <mergeCell ref="H22:I22"/>
    <mergeCell ref="O7:O8"/>
    <mergeCell ref="AA21:AB21"/>
    <mergeCell ref="Y26:Z27"/>
    <mergeCell ref="T5:T6"/>
    <mergeCell ref="Y17:Y18"/>
    <mergeCell ref="G9:G10"/>
    <mergeCell ref="Z15:Z16"/>
    <mergeCell ref="AB15:AB16"/>
    <mergeCell ref="I9:I10"/>
    <mergeCell ref="AA17:AA18"/>
    <mergeCell ref="U9:U10"/>
    <mergeCell ref="B7:B8"/>
    <mergeCell ref="G26:K27"/>
    <mergeCell ref="G15:G16"/>
    <mergeCell ref="E9:E10"/>
    <mergeCell ref="X7:X8"/>
    <mergeCell ref="Z7:Z8"/>
    <mergeCell ref="Q7:Q8"/>
    <mergeCell ref="AB7:AB8"/>
    <mergeCell ref="U11:U12"/>
    <mergeCell ref="Q24:R24"/>
    <mergeCell ref="Y13:Y14"/>
    <mergeCell ref="H2:I2"/>
    <mergeCell ref="L9:L10"/>
    <mergeCell ref="N9:N10"/>
    <mergeCell ref="O11:O12"/>
    <mergeCell ref="X9:X10"/>
    <mergeCell ref="E7:E8"/>
    <mergeCell ref="F22:G22"/>
    <mergeCell ref="J3:K3"/>
    <mergeCell ref="G11:G12"/>
    <mergeCell ref="L7:L8"/>
    <mergeCell ref="N7:N8"/>
    <mergeCell ref="I11:I12"/>
    <mergeCell ref="K5:K6"/>
    <mergeCell ref="M5:M6"/>
    <mergeCell ref="S11:S12"/>
    <mergeCell ref="T13:T14"/>
    <mergeCell ref="O17:O18"/>
    <mergeCell ref="Q17:Q18"/>
    <mergeCell ref="V21:X21"/>
    <mergeCell ref="Y15:Y16"/>
    <mergeCell ref="W17:W18"/>
    <mergeCell ref="T22:U22"/>
    <mergeCell ref="F2:G2"/>
    <mergeCell ref="X28:AB30"/>
    <mergeCell ref="AB17:AB18"/>
    <mergeCell ref="G23:N25"/>
    <mergeCell ref="AB11:AB12"/>
    <mergeCell ref="Q15:Q16"/>
    <mergeCell ref="S15:S16"/>
    <mergeCell ref="Y22:Z22"/>
    <mergeCell ref="Q26:X26"/>
    <mergeCell ref="AA26:AB27"/>
    <mergeCell ref="AA23:AB24"/>
    <mergeCell ref="Y25:Z25"/>
    <mergeCell ref="AA25:AB25"/>
    <mergeCell ref="AA22:AB22"/>
    <mergeCell ref="Z13:Z14"/>
    <mergeCell ref="AB13:AB14"/>
    <mergeCell ref="P15:P16"/>
    <mergeCell ref="Y21:Z21"/>
    <mergeCell ref="V22:X22"/>
    <mergeCell ref="Y23:Z24"/>
    <mergeCell ref="J15:J16"/>
    <mergeCell ref="L15:L16"/>
    <mergeCell ref="O27:X27"/>
    <mergeCell ref="O24:P24"/>
    <mergeCell ref="D3:E3"/>
    <mergeCell ref="L11:L12"/>
    <mergeCell ref="R22:S22"/>
    <mergeCell ref="A26:C27"/>
    <mergeCell ref="N11:N12"/>
    <mergeCell ref="H1:J1"/>
    <mergeCell ref="P5:P6"/>
    <mergeCell ref="R9:R10"/>
    <mergeCell ref="P3:Q3"/>
    <mergeCell ref="R5:R6"/>
    <mergeCell ref="H5:H6"/>
    <mergeCell ref="J5:J6"/>
    <mergeCell ref="J2:K2"/>
    <mergeCell ref="L26:N27"/>
    <mergeCell ref="R11:R12"/>
    <mergeCell ref="S1:V1"/>
    <mergeCell ref="C9:C10"/>
    <mergeCell ref="Q9:Q10"/>
    <mergeCell ref="S9:S10"/>
    <mergeCell ref="K1:R1"/>
    <mergeCell ref="U13:U14"/>
    <mergeCell ref="F17:F18"/>
    <mergeCell ref="E15:E16"/>
    <mergeCell ref="U17:U18"/>
    <mergeCell ref="O15:O16"/>
    <mergeCell ref="F3:G3"/>
    <mergeCell ref="V15:V16"/>
    <mergeCell ref="X15:X16"/>
    <mergeCell ref="Z17:Z18"/>
    <mergeCell ref="W1:AA1"/>
    <mergeCell ref="C11:C12"/>
    <mergeCell ref="H7:H8"/>
    <mergeCell ref="E11:E12"/>
    <mergeCell ref="J7:J8"/>
    <mergeCell ref="I5:I6"/>
    <mergeCell ref="S5:S6"/>
    <mergeCell ref="U5:U6"/>
    <mergeCell ref="W9:W10"/>
    <mergeCell ref="I13:I14"/>
    <mergeCell ref="K13:K14"/>
    <mergeCell ref="K7:K8"/>
    <mergeCell ref="R3:S3"/>
    <mergeCell ref="R2:S2"/>
    <mergeCell ref="T3:U3"/>
    <mergeCell ref="V5:V6"/>
    <mergeCell ref="V13:V14"/>
    <mergeCell ref="X13:X14"/>
    <mergeCell ref="S17:S18"/>
    <mergeCell ref="D23:F25"/>
    <mergeCell ref="A23:C25"/>
    <mergeCell ref="AB5:AB6"/>
    <mergeCell ref="F15:F16"/>
    <mergeCell ref="E17:E18"/>
    <mergeCell ref="J13:J14"/>
    <mergeCell ref="G17:G18"/>
    <mergeCell ref="L13:L14"/>
    <mergeCell ref="G28:W32"/>
    <mergeCell ref="B5:B6"/>
    <mergeCell ref="C13:C14"/>
    <mergeCell ref="T24:V24"/>
    <mergeCell ref="D5:D6"/>
    <mergeCell ref="Z9:Z10"/>
    <mergeCell ref="J17:J18"/>
    <mergeCell ref="O13:O14"/>
    <mergeCell ref="AA11:AA12"/>
    <mergeCell ref="L17:L18"/>
    <mergeCell ref="Q13:Q14"/>
    <mergeCell ref="AA13:AA14"/>
    <mergeCell ref="V17:V18"/>
    <mergeCell ref="C15:C16"/>
    <mergeCell ref="X17:X18"/>
    <mergeCell ref="X11:X12"/>
  </mergeCells>
  <printOptions horizontalCentered="1" verticalCentered="1"/>
  <pageMargins left="0.23622047244094491" right="0.23622047244094491" top="0.55118110236220474" bottom="0.74803149606299213" header="0" footer="0"/>
  <pageSetup paperSize="9" scale="94" orientation="landscape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cp:lastPrinted>2026-08-17T08:43:41Z</cp:lastPrinted>
  <dcterms:created xsi:type="dcterms:W3CDTF">2026-08-17T00:46:55Z</dcterms:created>
  <dcterms:modified xsi:type="dcterms:W3CDTF">2026-08-17T13:37:13Z</dcterms:modified>
</cp:coreProperties>
</file>