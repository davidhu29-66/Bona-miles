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Time and Mileage Managment\"/>
    </mc:Choice>
  </mc:AlternateContent>
  <xr:revisionPtr revIDLastSave="0" documentId="8_{8C23EF8E-78B2-034A-8EA1-098AA893724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.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3" i="1" l="1"/>
  <c r="AB11" i="1"/>
  <c r="AB9" i="1"/>
  <c r="AB7" i="1"/>
  <c r="AB5" i="1"/>
  <c r="Z13" i="1"/>
  <c r="Z11" i="1"/>
  <c r="Z9" i="1"/>
  <c r="Z7" i="1"/>
  <c r="Z5" i="1"/>
  <c r="Y13" i="1"/>
  <c r="Y11" i="1"/>
  <c r="Y9" i="1"/>
  <c r="Y7" i="1"/>
  <c r="Y5" i="1"/>
  <c r="X13" i="1"/>
  <c r="X11" i="1"/>
  <c r="X9" i="1"/>
  <c r="X7" i="1"/>
  <c r="X5" i="1"/>
  <c r="W13" i="1"/>
  <c r="W11" i="1"/>
  <c r="W9" i="1"/>
  <c r="W5" i="1"/>
  <c r="W7" i="1"/>
  <c r="V13" i="1"/>
  <c r="V11" i="1"/>
  <c r="V9" i="1"/>
  <c r="V5" i="1"/>
  <c r="V7" i="1"/>
  <c r="D23" i="1"/>
  <c r="A8" i="1"/>
  <c r="A10" i="1"/>
  <c r="A12" i="1"/>
  <c r="A14" i="1"/>
  <c r="A16" i="1"/>
  <c r="A18" i="1"/>
  <c r="W1" i="1"/>
  <c r="Y19" i="1"/>
  <c r="Z19" i="1"/>
  <c r="AA19" i="1"/>
  <c r="W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B19" i="1"/>
  <c r="AA23" i="1"/>
  <c r="AA25" i="1"/>
  <c r="V19" i="1"/>
  <c r="X19" i="1"/>
  <c r="AA26" i="1"/>
</calcChain>
</file>

<file path=xl/sharedStrings.xml><?xml version="1.0" encoding="utf-8"?>
<sst xmlns="http://schemas.openxmlformats.org/spreadsheetml/2006/main" count="68" uniqueCount="47">
  <si>
    <t>NAME:</t>
  </si>
  <si>
    <t>REGION:</t>
  </si>
  <si>
    <t>Western Cape</t>
  </si>
  <si>
    <t>CLIENT:</t>
  </si>
  <si>
    <t>Admin</t>
  </si>
  <si>
    <t>TOTAL HOURS</t>
  </si>
  <si>
    <t>TOTAL KM'S</t>
  </si>
  <si>
    <t>JOB NO:</t>
  </si>
  <si>
    <t>DATE ¯</t>
  </si>
  <si>
    <t>HRS</t>
  </si>
  <si>
    <t>KM</t>
  </si>
  <si>
    <t>NOR</t>
  </si>
  <si>
    <t>O / T</t>
  </si>
  <si>
    <t>TOT</t>
  </si>
  <si>
    <t>CH</t>
  </si>
  <si>
    <t>ADM</t>
  </si>
  <si>
    <t>PVTE</t>
  </si>
  <si>
    <t>Monday</t>
  </si>
  <si>
    <t>Tuesday</t>
  </si>
  <si>
    <t>Wednesday</t>
  </si>
  <si>
    <t>Thursday</t>
  </si>
  <si>
    <t>Friday</t>
  </si>
  <si>
    <t>Saturday</t>
  </si>
  <si>
    <t>Sunday</t>
  </si>
  <si>
    <t>TOTAL WORKED</t>
  </si>
  <si>
    <t>OFFICE USE</t>
  </si>
  <si>
    <t>TOTAL CLAIMED</t>
  </si>
  <si>
    <t>OVERTIME AUTHORISED</t>
  </si>
  <si>
    <t>CLOSING KM'S</t>
  </si>
  <si>
    <t xml:space="preserve">INVOICE NO. </t>
  </si>
  <si>
    <t>OPENING KM'S</t>
  </si>
  <si>
    <t>OFFICE USE:</t>
  </si>
  <si>
    <t>KM'S TRAVELED</t>
  </si>
  <si>
    <t>CAPTURED:</t>
  </si>
  <si>
    <t>BY</t>
  </si>
  <si>
    <t>DATE</t>
  </si>
  <si>
    <t>SALARIES:</t>
  </si>
  <si>
    <t>Total CH/ADM</t>
  </si>
  <si>
    <t>SIGNATURE OF WORKER</t>
  </si>
  <si>
    <t>SIGNATURE OF MANAGER</t>
  </si>
  <si>
    <t>ACCOUNTS:</t>
  </si>
  <si>
    <t>VARIANCE</t>
  </si>
  <si>
    <t>WEEKLY TIME SHEET</t>
  </si>
  <si>
    <t>HR-018</t>
  </si>
  <si>
    <t>Rev 2</t>
  </si>
  <si>
    <t>Week Ending:</t>
  </si>
  <si>
    <t>David Hughes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</si>
</sst>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\ ?/?"/>
    <numFmt numFmtId="165" formatCode="[$-1C09]dd/mmmm/yyyy;@"/>
    <numFmt numFmtId="166" formatCode="[$-1C09]dd/mmm/yyyy;@"/>
  </numFmts>
  <fonts count="21" x14ac:knownFonts="1">
    <font>
      <sz val="10"/>
      <color rgb="FF000000"/>
      <name val="Arial"/>
      <scheme val="minor"/>
    </font>
    <font>
      <b/>
      <sz val="13"/>
      <color rgb="FF000000"/>
      <name val="Arial"/>
      <family val="2"/>
    </font>
    <font>
      <b/>
      <sz val="12"/>
      <color rgb="FF000000"/>
      <name val="Arial"/>
      <family val="2"/>
    </font>
    <font>
      <b/>
      <sz val="8"/>
      <color rgb="FF000000"/>
      <name val="Arial"/>
      <family val="2"/>
    </font>
    <font>
      <b/>
      <sz val="9"/>
      <color rgb="FF000000"/>
      <name val="Arial"/>
      <family val="2"/>
    </font>
    <font>
      <b/>
      <sz val="8"/>
      <color theme="1"/>
      <name val="Arial"/>
      <family val="2"/>
    </font>
    <font>
      <b/>
      <u/>
      <sz val="9"/>
      <color rgb="FF000000"/>
      <name val="Arial"/>
      <family val="2"/>
    </font>
    <font>
      <sz val="8"/>
      <color rgb="FF000000"/>
      <name val="Arial"/>
      <family val="2"/>
    </font>
    <font>
      <b/>
      <i/>
      <sz val="7"/>
      <color theme="1"/>
      <name val="Arial"/>
      <family val="2"/>
    </font>
    <font>
      <sz val="9"/>
      <color theme="1"/>
      <name val="Arial"/>
      <family val="2"/>
    </font>
    <font>
      <b/>
      <sz val="9"/>
      <color rgb="FFFF0000"/>
      <name val="Arial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9"/>
      <color theme="1"/>
      <name val="Arial"/>
      <family val="2"/>
    </font>
    <font>
      <sz val="8"/>
      <color theme="1"/>
      <name val="Arial"/>
      <family val="2"/>
    </font>
    <font>
      <b/>
      <sz val="20"/>
      <color theme="1"/>
      <name val="Arial"/>
      <family val="2"/>
    </font>
    <font>
      <u/>
      <sz val="12"/>
      <color theme="1"/>
      <name val="Arial"/>
      <family val="2"/>
    </font>
    <font>
      <b/>
      <i/>
      <sz val="12"/>
      <color rgb="FF000000"/>
      <name val="Arial"/>
      <family val="2"/>
    </font>
    <font>
      <i/>
      <sz val="10"/>
      <color rgb="FF000000"/>
      <name val="Arial"/>
      <family val="2"/>
      <scheme val="minor"/>
    </font>
    <font>
      <b/>
      <sz val="8"/>
      <color rgb="FFFF0000"/>
      <name val="Arial"/>
      <family val="2"/>
    </font>
    <font>
      <b/>
      <sz val="12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0C0C0"/>
        <bgColor rgb="FFC0C0C0"/>
      </patternFill>
    </fill>
  </fills>
  <borders count="9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50505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dotted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dotted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dotted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ashed">
        <color indexed="64"/>
      </right>
      <top/>
      <bottom style="medium">
        <color rgb="FF000000"/>
      </bottom>
      <diagonal/>
    </border>
    <border>
      <left style="dashed">
        <color indexed="64"/>
      </left>
      <right style="medium">
        <color rgb="FF000000"/>
      </right>
      <top/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rgb="FF000000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 style="thin">
        <color rgb="FF000000"/>
      </bottom>
      <diagonal/>
    </border>
    <border>
      <left style="thin">
        <color rgb="FF505050"/>
      </left>
      <right style="dashed">
        <color indexed="64"/>
      </right>
      <top/>
      <bottom style="thin">
        <color rgb="FF505050"/>
      </bottom>
      <diagonal/>
    </border>
    <border>
      <left style="thin">
        <color rgb="FF505050"/>
      </left>
      <right style="dashed">
        <color indexed="64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dashed">
        <color indexed="64"/>
      </right>
      <top/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thin">
        <color indexed="64"/>
      </right>
      <top/>
      <bottom style="medium">
        <color rgb="FF000000"/>
      </bottom>
      <diagonal/>
    </border>
    <border>
      <left style="dashed">
        <color indexed="64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dashed">
        <color indexed="64"/>
      </right>
      <top/>
      <bottom style="medium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/>
      <diagonal/>
    </border>
    <border>
      <left style="dashed">
        <color indexed="64"/>
      </left>
      <right style="medium">
        <color rgb="FF000000"/>
      </right>
      <top style="thin">
        <color rgb="FF000000"/>
      </top>
      <bottom/>
      <diagonal/>
    </border>
    <border>
      <left style="dashed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ashed">
        <color indexed="64"/>
      </right>
      <top style="thin">
        <color rgb="FF000000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ck">
        <color rgb="FF000000"/>
      </bottom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505050"/>
      </left>
      <right style="dashed">
        <color indexed="64"/>
      </right>
      <top style="thin">
        <color rgb="FF000000"/>
      </top>
      <bottom/>
      <diagonal/>
    </border>
    <border>
      <left style="thin">
        <color rgb="FF505050"/>
      </left>
      <right style="dashed">
        <color indexed="64"/>
      </right>
      <top/>
      <bottom style="medium">
        <color indexed="64"/>
      </bottom>
      <diagonal/>
    </border>
    <border>
      <left style="dashed">
        <color indexed="64"/>
      </left>
      <right style="thin">
        <color rgb="FF505050"/>
      </right>
      <top style="thin">
        <color rgb="FF000000"/>
      </top>
      <bottom/>
      <diagonal/>
    </border>
    <border>
      <left style="dashed">
        <color indexed="64"/>
      </left>
      <right style="thin">
        <color rgb="FF505050"/>
      </right>
      <top/>
      <bottom style="medium">
        <color indexed="64"/>
      </bottom>
      <diagonal/>
    </border>
  </borders>
  <cellStyleXfs count="1">
    <xf numFmtId="0" fontId="0" fillId="0" borderId="0"/>
  </cellStyleXfs>
  <cellXfs count="189">
    <xf numFmtId="0" fontId="0" fillId="0" borderId="0" xfId="0"/>
    <xf numFmtId="0" fontId="1" fillId="0" borderId="1" xfId="0" applyFont="1" applyBorder="1" applyAlignment="1">
      <alignment horizontal="right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/>
    </xf>
    <xf numFmtId="164" fontId="3" fillId="0" borderId="25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7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5" fillId="0" borderId="3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top"/>
    </xf>
    <xf numFmtId="0" fontId="5" fillId="0" borderId="0" xfId="0" applyFont="1" applyAlignment="1">
      <alignment horizontal="right" vertical="top"/>
    </xf>
    <xf numFmtId="0" fontId="3" fillId="0" borderId="6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top"/>
    </xf>
    <xf numFmtId="0" fontId="3" fillId="2" borderId="12" xfId="0" applyFont="1" applyFill="1" applyBorder="1" applyAlignment="1">
      <alignment horizontal="center" vertical="center" wrapText="1"/>
    </xf>
    <xf numFmtId="0" fontId="3" fillId="0" borderId="53" xfId="0" applyFont="1" applyBorder="1" applyAlignment="1">
      <alignment horizontal="center" vertical="center" wrapText="1"/>
    </xf>
    <xf numFmtId="164" fontId="7" fillId="0" borderId="54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center" vertical="center" wrapText="1"/>
    </xf>
    <xf numFmtId="164" fontId="7" fillId="0" borderId="27" xfId="0" applyNumberFormat="1" applyFont="1" applyBorder="1" applyAlignment="1">
      <alignment horizontal="center" vertical="center"/>
    </xf>
    <xf numFmtId="164" fontId="7" fillId="0" borderId="56" xfId="0" applyNumberFormat="1" applyFont="1" applyBorder="1" applyAlignment="1">
      <alignment horizontal="center" vertical="center"/>
    </xf>
    <xf numFmtId="0" fontId="2" fillId="0" borderId="66" xfId="0" applyFont="1" applyBorder="1"/>
    <xf numFmtId="0" fontId="3" fillId="2" borderId="75" xfId="0" applyFont="1" applyFill="1" applyBorder="1" applyAlignment="1">
      <alignment horizontal="center" vertical="center" wrapText="1"/>
    </xf>
    <xf numFmtId="0" fontId="3" fillId="2" borderId="76" xfId="0" applyFont="1" applyFill="1" applyBorder="1" applyAlignment="1">
      <alignment horizontal="center" vertical="center" wrapText="1"/>
    </xf>
    <xf numFmtId="0" fontId="3" fillId="2" borderId="78" xfId="0" applyFont="1" applyFill="1" applyBorder="1" applyAlignment="1">
      <alignment horizontal="center" vertical="center" wrapText="1"/>
    </xf>
    <xf numFmtId="166" fontId="3" fillId="0" borderId="19" xfId="0" applyNumberFormat="1" applyFont="1" applyBorder="1" applyAlignment="1">
      <alignment horizontal="center" vertical="center"/>
    </xf>
    <xf numFmtId="165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22" fontId="11" fillId="0" borderId="1" xfId="0" applyNumberFormat="1" applyFont="1" applyBorder="1" applyAlignment="1">
      <alignment horizontal="center" vertical="center"/>
    </xf>
    <xf numFmtId="22" fontId="11" fillId="0" borderId="3" xfId="0" applyNumberFormat="1" applyFont="1" applyBorder="1" applyAlignment="1">
      <alignment horizontal="center" vertical="center"/>
    </xf>
    <xf numFmtId="22" fontId="11" fillId="0" borderId="19" xfId="0" applyNumberFormat="1" applyFont="1" applyBorder="1" applyAlignment="1">
      <alignment horizontal="center" vertical="center"/>
    </xf>
    <xf numFmtId="22" fontId="11" fillId="0" borderId="0" xfId="0" applyNumberFormat="1" applyFont="1" applyAlignment="1">
      <alignment horizontal="center" vertical="center"/>
    </xf>
    <xf numFmtId="22" fontId="11" fillId="0" borderId="12" xfId="0" applyNumberFormat="1" applyFont="1" applyBorder="1" applyAlignment="1">
      <alignment horizontal="center" vertical="center"/>
    </xf>
    <xf numFmtId="22" fontId="11" fillId="0" borderId="14" xfId="0" applyNumberFormat="1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0" fillId="0" borderId="18" xfId="0" applyBorder="1"/>
    <xf numFmtId="0" fontId="3" fillId="0" borderId="84" xfId="0" applyFont="1" applyBorder="1" applyAlignment="1">
      <alignment horizontal="center" vertical="center"/>
    </xf>
    <xf numFmtId="0" fontId="3" fillId="0" borderId="75" xfId="0" applyFont="1" applyBorder="1" applyAlignment="1">
      <alignment horizontal="center" vertical="center"/>
    </xf>
    <xf numFmtId="0" fontId="3" fillId="0" borderId="96" xfId="0" applyFont="1" applyBorder="1" applyAlignment="1">
      <alignment horizontal="center" vertical="center"/>
    </xf>
    <xf numFmtId="0" fontId="3" fillId="0" borderId="97" xfId="0" applyFont="1" applyBorder="1" applyAlignment="1">
      <alignment horizontal="center" vertical="center"/>
    </xf>
    <xf numFmtId="0" fontId="3" fillId="0" borderId="74" xfId="0" applyFont="1" applyBorder="1" applyAlignment="1">
      <alignment horizontal="center" vertical="center"/>
    </xf>
    <xf numFmtId="0" fontId="0" fillId="0" borderId="75" xfId="0" applyBorder="1"/>
    <xf numFmtId="0" fontId="3" fillId="0" borderId="72" xfId="0" applyFont="1" applyBorder="1" applyAlignment="1">
      <alignment horizontal="center" vertical="center"/>
    </xf>
    <xf numFmtId="0" fontId="3" fillId="0" borderId="92" xfId="0" applyFont="1" applyBorder="1" applyAlignment="1">
      <alignment horizontal="center" vertical="center"/>
    </xf>
    <xf numFmtId="0" fontId="15" fillId="0" borderId="5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19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/>
    <xf numFmtId="0" fontId="0" fillId="0" borderId="26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3" fillId="0" borderId="69" xfId="0" applyFont="1" applyBorder="1" applyAlignment="1">
      <alignment horizontal="center" vertical="center"/>
    </xf>
    <xf numFmtId="0" fontId="0" fillId="0" borderId="78" xfId="0" applyBorder="1"/>
    <xf numFmtId="0" fontId="3" fillId="0" borderId="85" xfId="0" applyFont="1" applyBorder="1" applyAlignment="1">
      <alignment horizontal="center" vertical="center"/>
    </xf>
    <xf numFmtId="0" fontId="3" fillId="0" borderId="71" xfId="0" applyFont="1" applyBorder="1" applyAlignment="1">
      <alignment horizontal="center" vertical="center"/>
    </xf>
    <xf numFmtId="0" fontId="5" fillId="0" borderId="0" xfId="0" applyFont="1" applyAlignment="1">
      <alignment horizontal="left" vertical="top"/>
    </xf>
    <xf numFmtId="0" fontId="7" fillId="0" borderId="38" xfId="0" applyFont="1" applyBorder="1" applyAlignment="1">
      <alignment horizontal="center" vertical="center"/>
    </xf>
    <xf numFmtId="0" fontId="0" fillId="0" borderId="17" xfId="0" applyBorder="1"/>
    <xf numFmtId="0" fontId="3" fillId="0" borderId="83" xfId="0" applyFont="1" applyBorder="1" applyAlignment="1">
      <alignment horizontal="center" vertical="center"/>
    </xf>
    <xf numFmtId="0" fontId="3" fillId="0" borderId="81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3" fillId="0" borderId="82" xfId="0" applyFont="1" applyBorder="1" applyAlignment="1">
      <alignment horizontal="center" vertical="center"/>
    </xf>
    <xf numFmtId="0" fontId="3" fillId="0" borderId="9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93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0" fillId="0" borderId="15" xfId="0" applyBorder="1"/>
    <xf numFmtId="0" fontId="3" fillId="0" borderId="61" xfId="0" applyFont="1" applyBorder="1" applyAlignment="1">
      <alignment horizontal="center" vertical="center"/>
    </xf>
    <xf numFmtId="0" fontId="0" fillId="0" borderId="62" xfId="0" applyBorder="1"/>
    <xf numFmtId="0" fontId="3" fillId="0" borderId="15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7" fillId="0" borderId="90" xfId="0" applyFont="1" applyBorder="1" applyAlignment="1">
      <alignment horizontal="center" vertical="center"/>
    </xf>
    <xf numFmtId="15" fontId="17" fillId="0" borderId="3" xfId="0" applyNumberFormat="1" applyFont="1" applyBorder="1" applyAlignment="1">
      <alignment horizontal="left"/>
    </xf>
    <xf numFmtId="0" fontId="18" fillId="0" borderId="3" xfId="0" applyFont="1" applyBorder="1"/>
    <xf numFmtId="0" fontId="19" fillId="0" borderId="85" xfId="0" applyFont="1" applyBorder="1" applyAlignment="1">
      <alignment horizontal="center" vertical="center"/>
    </xf>
    <xf numFmtId="0" fontId="19" fillId="0" borderId="71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0" fillId="0" borderId="14" xfId="0" applyBorder="1"/>
    <xf numFmtId="0" fontId="3" fillId="0" borderId="57" xfId="0" applyFont="1" applyBorder="1" applyAlignment="1">
      <alignment horizontal="center" vertical="center"/>
    </xf>
    <xf numFmtId="0" fontId="0" fillId="0" borderId="55" xfId="0" applyBorder="1"/>
    <xf numFmtId="0" fontId="3" fillId="0" borderId="36" xfId="0" applyFont="1" applyBorder="1" applyAlignment="1">
      <alignment horizontal="center" vertical="center"/>
    </xf>
    <xf numFmtId="0" fontId="0" fillId="0" borderId="13" xfId="0" applyBorder="1"/>
    <xf numFmtId="0" fontId="3" fillId="0" borderId="38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0" fontId="0" fillId="0" borderId="64" xfId="0" applyBorder="1"/>
    <xf numFmtId="0" fontId="3" fillId="0" borderId="6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/>
    </xf>
    <xf numFmtId="0" fontId="0" fillId="0" borderId="7" xfId="0" applyBorder="1"/>
    <xf numFmtId="0" fontId="3" fillId="0" borderId="80" xfId="0" applyFont="1" applyBorder="1" applyAlignment="1">
      <alignment horizontal="center" vertical="center"/>
    </xf>
    <xf numFmtId="0" fontId="3" fillId="0" borderId="52" xfId="0" applyFont="1" applyBorder="1" applyAlignment="1">
      <alignment horizontal="center" vertical="center"/>
    </xf>
    <xf numFmtId="0" fontId="0" fillId="0" borderId="2" xfId="0" applyBorder="1"/>
    <xf numFmtId="0" fontId="9" fillId="0" borderId="41" xfId="0" applyFont="1" applyBorder="1" applyAlignment="1">
      <alignment vertical="center"/>
    </xf>
    <xf numFmtId="0" fontId="0" fillId="0" borderId="33" xfId="0" applyBorder="1"/>
    <xf numFmtId="0" fontId="14" fillId="0" borderId="43" xfId="0" applyFont="1" applyBorder="1" applyAlignment="1">
      <alignment horizontal="center" vertical="center"/>
    </xf>
    <xf numFmtId="0" fontId="0" fillId="0" borderId="23" xfId="0" applyBorder="1"/>
    <xf numFmtId="0" fontId="0" fillId="0" borderId="21" xfId="0" applyBorder="1"/>
    <xf numFmtId="0" fontId="2" fillId="0" borderId="3" xfId="0" applyFont="1" applyBorder="1" applyAlignment="1">
      <alignment horizontal="right"/>
    </xf>
    <xf numFmtId="0" fontId="3" fillId="0" borderId="67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 wrapText="1"/>
    </xf>
    <xf numFmtId="0" fontId="0" fillId="0" borderId="65" xfId="0" applyBorder="1"/>
    <xf numFmtId="0" fontId="14" fillId="0" borderId="44" xfId="0" applyFont="1" applyBorder="1" applyAlignment="1">
      <alignment horizontal="center" vertical="center"/>
    </xf>
    <xf numFmtId="0" fontId="0" fillId="0" borderId="35" xfId="0" applyBorder="1"/>
    <xf numFmtId="0" fontId="0" fillId="0" borderId="32" xfId="0" applyBorder="1"/>
    <xf numFmtId="0" fontId="20" fillId="0" borderId="3" xfId="0" applyFont="1" applyBorder="1" applyAlignment="1">
      <alignment horizontal="right"/>
    </xf>
    <xf numFmtId="0" fontId="2" fillId="0" borderId="58" xfId="0" applyFont="1" applyBorder="1" applyAlignment="1">
      <alignment horizontal="left"/>
    </xf>
    <xf numFmtId="0" fontId="0" fillId="0" borderId="58" xfId="0" applyBorder="1"/>
    <xf numFmtId="0" fontId="3" fillId="0" borderId="94" xfId="0" applyFont="1" applyBorder="1" applyAlignment="1">
      <alignment horizontal="center" vertical="center"/>
    </xf>
    <xf numFmtId="0" fontId="3" fillId="0" borderId="95" xfId="0" applyFont="1" applyBorder="1" applyAlignment="1">
      <alignment horizontal="center" vertical="center"/>
    </xf>
    <xf numFmtId="0" fontId="3" fillId="0" borderId="86" xfId="0" applyFont="1" applyBorder="1" applyAlignment="1">
      <alignment horizontal="center" vertical="center"/>
    </xf>
    <xf numFmtId="0" fontId="3" fillId="0" borderId="59" xfId="0" applyFont="1" applyBorder="1" applyAlignment="1">
      <alignment horizontal="center" vertical="center" wrapText="1"/>
    </xf>
    <xf numFmtId="0" fontId="0" fillId="0" borderId="60" xfId="0" applyBorder="1"/>
    <xf numFmtId="0" fontId="16" fillId="0" borderId="48" xfId="0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 wrapText="1"/>
    </xf>
    <xf numFmtId="0" fontId="0" fillId="0" borderId="34" xfId="0" applyBorder="1"/>
    <xf numFmtId="0" fontId="12" fillId="0" borderId="36" xfId="0" applyFont="1" applyBorder="1" applyAlignment="1">
      <alignment vertical="center"/>
    </xf>
    <xf numFmtId="0" fontId="0" fillId="0" borderId="37" xfId="0" applyBorder="1"/>
    <xf numFmtId="0" fontId="0" fillId="0" borderId="36" xfId="0" applyBorder="1"/>
    <xf numFmtId="2" fontId="13" fillId="0" borderId="44" xfId="0" applyNumberFormat="1" applyFont="1" applyBorder="1" applyAlignment="1">
      <alignment horizontal="center" vertical="center"/>
    </xf>
    <xf numFmtId="2" fontId="13" fillId="0" borderId="39" xfId="0" applyNumberFormat="1" applyFont="1" applyBorder="1" applyAlignment="1">
      <alignment horizontal="center" vertical="center"/>
    </xf>
    <xf numFmtId="0" fontId="0" fillId="0" borderId="22" xfId="0" applyBorder="1"/>
    <xf numFmtId="2" fontId="10" fillId="0" borderId="18" xfId="0" applyNumberFormat="1" applyFont="1" applyBorder="1" applyAlignment="1">
      <alignment horizontal="center" vertical="center"/>
    </xf>
    <xf numFmtId="0" fontId="5" fillId="0" borderId="49" xfId="0" applyFont="1" applyBorder="1" applyAlignment="1">
      <alignment horizontal="center" vertical="center" wrapText="1"/>
    </xf>
    <xf numFmtId="0" fontId="0" fillId="0" borderId="30" xfId="0" applyBorder="1"/>
    <xf numFmtId="0" fontId="9" fillId="0" borderId="9" xfId="0" applyFont="1" applyBorder="1" applyAlignment="1">
      <alignment vertical="center"/>
    </xf>
    <xf numFmtId="0" fontId="0" fillId="0" borderId="12" xfId="0" applyBorder="1"/>
    <xf numFmtId="0" fontId="0" fillId="0" borderId="16" xfId="0" applyBorder="1"/>
    <xf numFmtId="0" fontId="12" fillId="0" borderId="45" xfId="0" applyFont="1" applyBorder="1" applyAlignment="1">
      <alignment vertical="center"/>
    </xf>
    <xf numFmtId="0" fontId="5" fillId="0" borderId="19" xfId="0" applyFont="1" applyBorder="1" applyAlignment="1">
      <alignment horizontal="left" vertical="top"/>
    </xf>
    <xf numFmtId="0" fontId="7" fillId="0" borderId="40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wrapText="1"/>
    </xf>
    <xf numFmtId="0" fontId="0" fillId="0" borderId="28" xfId="0" applyBorder="1"/>
    <xf numFmtId="0" fontId="0" fillId="0" borderId="29" xfId="0" applyBorder="1"/>
    <xf numFmtId="0" fontId="7" fillId="0" borderId="82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3" fillId="0" borderId="89" xfId="0" applyFont="1" applyBorder="1" applyAlignment="1">
      <alignment horizontal="center" vertical="center"/>
    </xf>
    <xf numFmtId="0" fontId="3" fillId="0" borderId="90" xfId="0" applyFont="1" applyBorder="1" applyAlignment="1">
      <alignment horizontal="center" vertical="center"/>
    </xf>
    <xf numFmtId="0" fontId="9" fillId="0" borderId="42" xfId="0" applyFont="1" applyBorder="1" applyAlignment="1">
      <alignment vertical="center"/>
    </xf>
    <xf numFmtId="0" fontId="3" fillId="0" borderId="79" xfId="0" applyFont="1" applyBorder="1" applyAlignment="1">
      <alignment horizontal="center" vertical="center"/>
    </xf>
    <xf numFmtId="2" fontId="10" fillId="0" borderId="50" xfId="0" applyNumberFormat="1" applyFont="1" applyBorder="1" applyAlignment="1">
      <alignment horizontal="center" vertical="center"/>
    </xf>
    <xf numFmtId="0" fontId="5" fillId="0" borderId="43" xfId="0" applyFont="1" applyBorder="1" applyAlignment="1">
      <alignment horizontal="center" vertical="center" wrapText="1"/>
    </xf>
    <xf numFmtId="0" fontId="7" fillId="0" borderId="91" xfId="0" applyFont="1" applyBorder="1" applyAlignment="1">
      <alignment horizontal="center" vertical="center"/>
    </xf>
    <xf numFmtId="0" fontId="3" fillId="0" borderId="87" xfId="0" applyFont="1" applyBorder="1" applyAlignment="1">
      <alignment horizontal="center" vertical="center"/>
    </xf>
    <xf numFmtId="0" fontId="3" fillId="0" borderId="70" xfId="0" applyFont="1" applyBorder="1" applyAlignment="1">
      <alignment horizontal="center" vertical="center"/>
    </xf>
    <xf numFmtId="0" fontId="19" fillId="0" borderId="87" xfId="0" applyFont="1" applyBorder="1" applyAlignment="1">
      <alignment horizontal="center" vertical="center"/>
    </xf>
    <xf numFmtId="0" fontId="19" fillId="0" borderId="78" xfId="0" applyFont="1" applyBorder="1" applyAlignment="1">
      <alignment horizontal="center" vertical="center"/>
    </xf>
    <xf numFmtId="0" fontId="3" fillId="0" borderId="77" xfId="0" applyFont="1" applyBorder="1" applyAlignment="1">
      <alignment horizontal="center" vertical="center"/>
    </xf>
    <xf numFmtId="0" fontId="0" fillId="0" borderId="77" xfId="0" applyBorder="1"/>
    <xf numFmtId="0" fontId="4" fillId="0" borderId="51" xfId="0" applyFont="1" applyBorder="1" applyAlignment="1">
      <alignment horizontal="center" vertical="center"/>
    </xf>
    <xf numFmtId="0" fontId="0" fillId="0" borderId="66" xfId="0" applyBorder="1"/>
    <xf numFmtId="0" fontId="4" fillId="2" borderId="51" xfId="0" applyFont="1" applyFill="1" applyBorder="1" applyAlignment="1">
      <alignment horizontal="center" vertical="center"/>
    </xf>
    <xf numFmtId="0" fontId="3" fillId="0" borderId="45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12" fillId="0" borderId="51" xfId="0" applyFont="1" applyBorder="1" applyAlignment="1">
      <alignment vertical="center"/>
    </xf>
    <xf numFmtId="0" fontId="3" fillId="0" borderId="7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14" fillId="0" borderId="45" xfId="0" applyFont="1" applyBorder="1" applyAlignment="1">
      <alignment horizontal="center" vertical="center"/>
    </xf>
    <xf numFmtId="0" fontId="3" fillId="0" borderId="78" xfId="0" applyFont="1" applyBorder="1" applyAlignment="1">
      <alignment horizontal="center" vertical="center"/>
    </xf>
    <xf numFmtId="0" fontId="3" fillId="0" borderId="88" xfId="0" applyFont="1" applyBorder="1" applyAlignment="1">
      <alignment horizontal="center" vertical="center"/>
    </xf>
    <xf numFmtId="0" fontId="14" fillId="0" borderId="19" xfId="0" applyFont="1" applyBorder="1" applyAlignment="1">
      <alignment horizontal="right"/>
    </xf>
    <xf numFmtId="0" fontId="8" fillId="0" borderId="48" xfId="0" applyFont="1" applyBorder="1" applyAlignment="1">
      <alignment horizontal="left"/>
    </xf>
    <xf numFmtId="0" fontId="12" fillId="0" borderId="13" xfId="0" applyFont="1" applyBorder="1" applyAlignment="1">
      <alignment vertical="center"/>
    </xf>
    <xf numFmtId="0" fontId="3" fillId="0" borderId="5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 /><Relationship Id="rId2" Type="http://schemas.openxmlformats.org/officeDocument/2006/relationships/customXml" Target="../ink/ink1.xml" /><Relationship Id="rId1" Type="http://schemas.openxmlformats.org/officeDocument/2006/relationships/image" Target="..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128016</xdr:colOff>
      <xdr:row>27</xdr:row>
      <xdr:rowOff>48768</xdr:rowOff>
    </xdr:from>
    <xdr:to>
      <xdr:col>4</xdr:col>
      <xdr:colOff>75438</xdr:colOff>
      <xdr:row>31</xdr:row>
      <xdr:rowOff>76200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8016" y="5352288"/>
          <a:ext cx="1962150" cy="685800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0</xdr:col>
      <xdr:colOff>25200</xdr:colOff>
      <xdr:row>21</xdr:row>
      <xdr:rowOff>130008</xdr:rowOff>
    </xdr:from>
    <xdr:to>
      <xdr:col>2</xdr:col>
      <xdr:colOff>108576</xdr:colOff>
      <xdr:row>24</xdr:row>
      <xdr:rowOff>191808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B500BB45-2EF0-0859-0C2A-B9C8DFC0316D}"/>
                </a:ext>
              </a:extLst>
            </xdr14:cNvPr>
            <xdr14:cNvContentPartPr/>
          </xdr14:nvContentPartPr>
          <xdr14:nvPr macro=""/>
          <xdr14:xfrm>
            <a:off x="25200" y="4165560"/>
            <a:ext cx="1326960" cy="671400"/>
          </xdr14:xfrm>
        </xdr:contentPart>
      </mc:Choice>
      <mc:Fallback xmlns=""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B500BB45-2EF0-0859-0C2A-B9C8DFC0316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560" y="4156920"/>
              <a:ext cx="1344600" cy="6890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8-30T16:52:30.797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173 725 1456,'0'0'0,"0"0"520,-2 0-184,2 0-96,-2 0-56,1 0-24,1 0-40,-2 0 0,0 0-16,0 0 24,2 0 32,-1 0 48,1 0-208,-2 0 280,0 0 40,1 0 0,-1 0 81,0 0 15,0 0 40,1 0 48,-1 0-16,-2 0 16,1-2-8,1 1-48,-1-1 32,-1 0-56,3 0-31,-3 1 63,1-3-128,1 3 0,-1-3-48,1 2-96,0-1 16,1 0-64,-1-1 40,0 1-64,0-1 16,2-1 0,0 2-48,0-3 16,0 3-16,4-2-24,-1 0 104,1-1-120,-1 1-40,1 0 24,1-2-152,0 2 184,9-2-88,-11 2 40,2-2 40,9 2-72,-9 0 72,9 0-48,-9 0 8,-5 5-8,16-6 8,-11 1 0,10 0-8,-10 0-16,14 0 24,-14 0 24,-5 5-32,21-4 8,-16-1 0,16 2-16,-6-1-8,-1 1-8,0-1 24,-14 4 0,15-3 8,1-1-8,-2 1 40,1-1 16,1 3-56,1-3 8,-17 4-8,15-1 16,3-1 8,-3 0 56,2 0-8,2 1-32,-19 1-40,17-2 48,1 0-8,1 2-32,-2-2 48,2 2-32,0 0 8,-19 0-32,17 0 40,2 0-24,0 0 8,0 0 24,-2 0-8,0 0-40,0 0 0,0 0 0,-1 4 0,-1-4 32,-1 3-16,0 1-48,0-4-8,-9 3 72,14 1 8,-14-1 40,14 1 8,-14-1-72,10 0 8,-9 1-40,7-1 40,-7 1 0,7 1 8,-9 0 24,10 0-16,-11 9 8,11-11-64,-11 3 0,16 18 56,-14-7 8,12 4 32,-13-2-24,10 3-56,-14-1 17,3-1-1,1 1 40,-4-21-56,0 20 32,0 3-32,0-1 8,0-17-80,0 16 40,0-5 32,0-16 0,0 15 8,-2 1 40,0 2-48,-1 1-24,-1 2-8,-1 0 56,5-21-24,-5 22-24,0 2 48,-2 0-129,-7 0 17,9 4 56,-9-2-48,14-26 80,-5 29 72,-12 0-48,10-1-16,-12 1 56,4-2-80,-3 1 72,18-28-56,-17 28 40,-2-3 1,0 1 47,-1 0-48,-3-2 32,-1 2-56,24-26-16,-24 22 40,0 1 0,-4-1-40,1-1 0,-2-1 32,-1-3 24,30-17-56,-29 18 32,-2-1 56,2-3-48,-2-1-16,0-7 16,2 13 16,29-19-56,-31 3 40,2 11-16,-1-14-8,1 5 16,2 0-32,-1-1 32,28-4-32,-26 3 24,2-3 0,2 0-16,-1 0-16,3 0 24,1 0-16,19 0 0,-17-2 16,1 1-8,1-5-32,1 3 64,7-2-96,-10 0-64,17 5 120,-5-6-64,-2 1-8,0 0 72,0-2 128,2 0-128,0-6-48,5 13 48,-6-6-32,1 0-64,4-8 64,-1 9-32,0-11 48,0 11 0,2 5 16,-1-16 0,1 10 48,0-12-72,0 11-8,3-11 24,2 11-40,-5 7 48,5-19-8,9 12-16,-10-12-16,11 5 16,-10 0-16,16 1 8,-21 13 32,15-14-32,1 0 32,1 0 8,0 1-40,2 6 24,0-11-56,-19 18 64,19-6 16,2-10 0,-1 11 112,1-11 56,1 11-56,1-2-48,-23 7-80,22-6 32,-1 0-16,1 1-136,1 2 88,-1-1-40,0 3-16,-22 1 88,23 0 56,1 0-24,0 3-32,0 0 8,0 3 0,0 9 24,-24-15-32,24 5 32,-1 11 0,1-2-16,0-1-48,-2 3 32,0-1-24,-22-15 24,25 17 32,-5 2 0,3-1 8,-3 2 16,1-1-48,-1 2 40,-20-21-48,19 20 40,0 1 24,0 0 24,-2-1-24,2 1 128,14 17-24,-33-38-168,31 33 184,-2-4-16,-3-3-104,-2-4 40,-1-5 8,-3-3-24,-20-14-88,19 5 88,0 9-16,2-14 8,-1 5 64,1-1-40,3-4 8,-24 0-112,22 0 136,3-2-32,0-12 64,3 7-48,-1-13 48,1 1-16,-28 19-152,29-21 176,-1-5 8,1 0-48,-1-3-56,-3-4 32,1-1 8,-26 34-120,28-34 128,-3-4 16,1 0-55,-3-2-105,-1 1 112,0-1 40,-22 40-136,21-38 144,-4 0 88,-1 2-144,1 2 16,-3-1-104,-9 3 56,-5 32-56,17-31 48,-12 0-32,9 0 72,-11 2-40,1 1-56,1 2 32,-5 26-24,3-27 24,1-1-24,-4 2 64,3-1-32,-3-1-16,0 1-8,0 27-8,0-31 16,-3 0-8,-2-2-16,0-1 8,-1-2-48,0-1-16,6 37 64,-14-37-88,9-1-24,-2 0 16,-10 0-16,11 0 96,-11 2-72,17 36 88,-5-36-56,-12 1 8,12 3 32,-13 1 56,12 2 8,-10 1 0,16 28-48,-5-26-48,-9 4 0,7-1-32,-8 6-72,10 0 48,-11 3 8,16 14 96,-5-5-121,-9-10 89,7 11-40,-10-1-88,10 3 56,-12 1-8,19 1 112,-15 0-128,-2 0 40,-4 0-24,-1 13-48,-4-9-56,-2 13 0,28-17 216,-29 15-216,-4 3 8,-1 1-48,-4 1 112,0 4-24,-3 2 56,41-26 112,-19 14-48,-3 1-40,-1 3 8,-1 2 104,0 1 8,-3 1 16,27-22-48,-26 24 88,-2 2-80,2 2 104,-3 3-56,2 0-8,-3 3-16,30-34-32,-29 35-8,2 2 16,-1 0 40,-1 2-40,1 1-32,4-1 88,24-39-64,-24 40 0,3-1 32,3 1 24,-1 0-32,5-3 32,0 1-56,14-38 0,-7 38-8,0-3-56,0-1-128,4 0 88,1-3 8,2 0 8,0-31 88,0 31 16,4-3-48,9-1 48,-7-1-8,14-2 0,-4-1 120,-16-23-128,17 20 88,2-3 0,3-1 16,1-2-24,2-9 56,1 10 48,-26-15-184,52 6 328,1-1-16,1-5 32,-5 0-24,1-14-136,-1-2 8,-49 16-192,44-17 201,1-2 55,-2-1 32,3-4-96,-1-1 24,3-2-104,-48 27-112,49-28 96,-1-3 16,2-1-32,-1-1-120,0-1 128,-49 34-88,50-35 64,-1-1-32,1 2 112,0-1-72,0 1-104,-2 1 64,-48 33-32,49-31 56,-3 0-80,2 0 112,33-22 48,-12 10-112,-18 10-72,-51 33 48,38-20 0,-7 4-104,-1 11 104,-5-11 64,-1 11-40,-3 0-24,-21 5 0,19-5 0,-2 3 32,0 0-48,1 2 16,-1 0 128,0 4-80,-17-4-48,17 3 16,-1 1 8,-3-1-112,-7 2 104,11 9-32,-12-9 32,-5-5-16,17 16 24,-12-2-48,14-1 32,-14 6-8,13 2-40,-13 0 32,-5-21 8,15 24-16,-11-2 32,10 4-16,-14 3-24,5 6-32,-2 2 32,-3-37 24,0 45-24,0 2 8,-3 1 40,-4 3-96,-9 1-32,11 1 64,5-53 40,-17 57-48,3 0 48,-1 0 24,-4 1-88,0-1 64,-4-4-48,23-53 48,-24 52-16,-1 0 8,-3-6-48,-3-1-16,2-4 72,-2-5-40,31-36 40,-33 31-24,2-3 48,-1-9-96,-1-4 8,16-15-32,-6 5-56,23-5 152,-24 4-240,-5-1-88,-2-3-80,-7 0-73,-1-5 17,-8-16 64,47 21 400,-48-20-304,-2-8 112,-2-8 40,1-7 16,-4-5-64,1-9 8,54 57 192,-56-62-256,-1-3-16,-2-2 40,-1-2-96,0 0 80,1 2 40,59 67 208,-56-67-160,-1 5 96,7 5 56,26 29-48,-2 1 40,5 1 0,21 26 16,-22-27 0,3 3 32,-2-2 0,6 3-16,-2 1-48,3 0-56,14 22 88,-14-21-40,9 2-48,-12 0-16,13 2 48,-2 0-48,0 1 23,6 16 81,-5-15 48,0 1 57,3 9 119,2-12 40,0 11 48,0 1 48,0 5-360,5-7 448,20-6 72,-3 11-8,2 0-8,-24 2-504,29 0 480,6 0 16,6 4 25,4 1-1,6 9-72,6-9-48,5 10-72,10-10-64,-72-5-264,76 21 232,8-6-32,4 1-32,5-1 0,15 8-32,85 13-24,-193-36-112,174 33 104,-21-4-64,-41-8 24,-7-1-32,-4 1-88,-10-4 40,-91-17 16,87 21-8,-3-2-24,-7-4 64,-1 2-48,-6-1-32,-4 1 48,-66-17 0,57 15-16,-4 1 0,-7-11 48,-3 14-64,-5-14 32,-2 12-40,-36-17 40,31 6-72,-3 13-72,-6-6-88,-4-8-120,-5 13-176,-9-13-216,-4-5 744,3 5-952,-3 9-185,0-14-159,-3 3-408,-18 1-593,-1-1-639,22-3 2936,-31 0-3209,-11 0-1064,42 0 4273</inkml:trace>
</inkml: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B1000"/>
  <sheetViews>
    <sheetView tabSelected="1" workbookViewId="0">
      <selection activeCell="I11" sqref="I11:I12"/>
    </sheetView>
  </sheetViews>
  <sheetFormatPr defaultColWidth="12.67578125" defaultRowHeight="15" customHeight="1" x14ac:dyDescent="0.15"/>
  <cols>
    <col min="1" max="1" width="12.40625" bestFit="1" customWidth="1"/>
    <col min="2" max="2" width="5.12109375" customWidth="1"/>
    <col min="3" max="3" width="5.390625" customWidth="1"/>
    <col min="4" max="4" width="5.390625" style="26" customWidth="1"/>
    <col min="5" max="7" width="5.390625" customWidth="1"/>
    <col min="8" max="8" width="5.390625" style="26" customWidth="1"/>
    <col min="9" max="9" width="5.390625" style="25" customWidth="1"/>
    <col min="10" max="21" width="5.390625" customWidth="1"/>
    <col min="22" max="22" width="4.44921875" customWidth="1"/>
    <col min="23" max="23" width="4.71875" customWidth="1"/>
    <col min="24" max="24" width="5.2578125" customWidth="1"/>
    <col min="25" max="25" width="4.98828125" customWidth="1"/>
    <col min="26" max="28" width="4.71875" customWidth="1"/>
  </cols>
  <sheetData>
    <row r="1" spans="1:28" ht="21.75" customHeight="1" thickBot="1" x14ac:dyDescent="0.25">
      <c r="A1" s="1" t="s">
        <v>0</v>
      </c>
      <c r="B1" s="127" t="s">
        <v>46</v>
      </c>
      <c r="C1" s="128"/>
      <c r="D1" s="128"/>
      <c r="E1" s="128"/>
      <c r="F1" s="128"/>
      <c r="G1" s="128"/>
      <c r="H1" s="119" t="s">
        <v>1</v>
      </c>
      <c r="I1" s="63"/>
      <c r="J1" s="63"/>
      <c r="K1" s="127" t="s">
        <v>2</v>
      </c>
      <c r="L1" s="128"/>
      <c r="M1" s="128"/>
      <c r="N1" s="128"/>
      <c r="O1" s="128"/>
      <c r="P1" s="128"/>
      <c r="Q1" s="128"/>
      <c r="R1" s="128"/>
      <c r="S1" s="126" t="s">
        <v>45</v>
      </c>
      <c r="T1" s="63"/>
      <c r="U1" s="63"/>
      <c r="V1" s="63"/>
      <c r="W1" s="95">
        <f>A18</f>
        <v>46250</v>
      </c>
      <c r="X1" s="96"/>
      <c r="Y1" s="96"/>
      <c r="Z1" s="96"/>
      <c r="AA1" s="96"/>
      <c r="AB1" s="34"/>
    </row>
    <row r="2" spans="1:28" ht="26.25" customHeight="1" thickBot="1" x14ac:dyDescent="0.2">
      <c r="A2" s="2" t="s">
        <v>3</v>
      </c>
      <c r="B2" s="175" t="s">
        <v>4</v>
      </c>
      <c r="C2" s="72"/>
      <c r="D2" s="176"/>
      <c r="E2" s="71"/>
      <c r="F2" s="132"/>
      <c r="G2" s="133"/>
      <c r="H2" s="121"/>
      <c r="I2" s="107"/>
      <c r="J2" s="121"/>
      <c r="K2" s="122"/>
      <c r="L2" s="132"/>
      <c r="M2" s="133"/>
      <c r="N2" s="132"/>
      <c r="O2" s="133"/>
      <c r="P2" s="132"/>
      <c r="Q2" s="133"/>
      <c r="R2" s="108"/>
      <c r="S2" s="107"/>
      <c r="T2" s="188"/>
      <c r="U2" s="110"/>
      <c r="V2" s="174" t="s">
        <v>5</v>
      </c>
      <c r="W2" s="63"/>
      <c r="X2" s="64"/>
      <c r="Y2" s="172" t="s">
        <v>6</v>
      </c>
      <c r="Z2" s="63"/>
      <c r="AA2" s="63"/>
      <c r="AB2" s="173"/>
    </row>
    <row r="3" spans="1:28" ht="19.5" customHeight="1" thickBot="1" x14ac:dyDescent="0.2">
      <c r="A3" s="3" t="s">
        <v>7</v>
      </c>
      <c r="B3" s="187"/>
      <c r="C3" s="110"/>
      <c r="D3" s="112"/>
      <c r="E3" s="113"/>
      <c r="F3" s="90"/>
      <c r="G3" s="91"/>
      <c r="H3" s="106"/>
      <c r="I3" s="107"/>
      <c r="J3" s="121"/>
      <c r="K3" s="107"/>
      <c r="L3" s="106"/>
      <c r="M3" s="107"/>
      <c r="N3" s="106"/>
      <c r="O3" s="107"/>
      <c r="P3" s="120"/>
      <c r="Q3" s="107"/>
      <c r="R3" s="106"/>
      <c r="S3" s="107"/>
      <c r="T3" s="109"/>
      <c r="U3" s="110"/>
      <c r="V3" s="70"/>
      <c r="W3" s="71"/>
      <c r="X3" s="72"/>
      <c r="Y3" s="70"/>
      <c r="Z3" s="71"/>
      <c r="AA3" s="71"/>
      <c r="AB3" s="122"/>
    </row>
    <row r="4" spans="1:28" ht="19.5" customHeight="1" x14ac:dyDescent="0.15">
      <c r="A4" s="4" t="s">
        <v>8</v>
      </c>
      <c r="B4" s="37" t="s">
        <v>9</v>
      </c>
      <c r="C4" s="5" t="s">
        <v>10</v>
      </c>
      <c r="D4" s="28" t="s">
        <v>9</v>
      </c>
      <c r="E4" s="29" t="s">
        <v>10</v>
      </c>
      <c r="F4" s="36" t="s">
        <v>9</v>
      </c>
      <c r="G4" s="31" t="s">
        <v>10</v>
      </c>
      <c r="H4" s="35" t="s">
        <v>9</v>
      </c>
      <c r="I4" s="31" t="s">
        <v>10</v>
      </c>
      <c r="J4" s="35" t="s">
        <v>9</v>
      </c>
      <c r="K4" s="31" t="s">
        <v>10</v>
      </c>
      <c r="L4" s="35" t="s">
        <v>9</v>
      </c>
      <c r="M4" s="6" t="s">
        <v>10</v>
      </c>
      <c r="N4" s="35" t="s">
        <v>9</v>
      </c>
      <c r="O4" s="31" t="s">
        <v>10</v>
      </c>
      <c r="P4" s="35" t="s">
        <v>9</v>
      </c>
      <c r="Q4" s="31" t="s">
        <v>10</v>
      </c>
      <c r="R4" s="35" t="s">
        <v>9</v>
      </c>
      <c r="S4" s="31" t="s">
        <v>10</v>
      </c>
      <c r="T4" s="35" t="s">
        <v>9</v>
      </c>
      <c r="U4" s="5" t="s">
        <v>10</v>
      </c>
      <c r="V4" s="7" t="s">
        <v>11</v>
      </c>
      <c r="W4" s="8" t="s">
        <v>12</v>
      </c>
      <c r="X4" s="9" t="s">
        <v>13</v>
      </c>
      <c r="Y4" s="7" t="s">
        <v>14</v>
      </c>
      <c r="Z4" s="10" t="s">
        <v>15</v>
      </c>
      <c r="AA4" s="10" t="s">
        <v>16</v>
      </c>
      <c r="AB4" s="11" t="s">
        <v>13</v>
      </c>
    </row>
    <row r="5" spans="1:28" ht="12.75" customHeight="1" x14ac:dyDescent="0.15">
      <c r="A5" s="12" t="s">
        <v>17</v>
      </c>
      <c r="B5" s="73"/>
      <c r="C5" s="103"/>
      <c r="D5" s="73"/>
      <c r="E5" s="99"/>
      <c r="F5" s="170"/>
      <c r="G5" s="101"/>
      <c r="H5" s="58"/>
      <c r="I5" s="101"/>
      <c r="J5" s="58"/>
      <c r="K5" s="101"/>
      <c r="L5" s="58"/>
      <c r="M5" s="99"/>
      <c r="N5" s="58"/>
      <c r="O5" s="101"/>
      <c r="P5" s="58"/>
      <c r="Q5" s="101"/>
      <c r="R5" s="58"/>
      <c r="S5" s="101"/>
      <c r="T5" s="58"/>
      <c r="U5" s="103"/>
      <c r="V5" s="58">
        <f>MIN(9, SUM(B5, D5,F5,H5,J5, L5, N5, P5, R5, T5))</f>
        <v>0</v>
      </c>
      <c r="W5" s="105">
        <f>MAX(0, SUM(B5,D5, F5,H5,J5, L5, N5, P5, R5, T5) - 9)</f>
        <v>0</v>
      </c>
      <c r="X5" s="88">
        <f>SUM(B5, D5,F5,H5,J5, L5, N5, P5, R5, T5)</f>
        <v>0</v>
      </c>
      <c r="Y5" s="152">
        <f>C5</f>
        <v>0</v>
      </c>
      <c r="Z5" s="78">
        <f>SUM(E5+G5+I5+K5+M5+O5+Q5+S5+U5)</f>
        <v>0</v>
      </c>
      <c r="AA5" s="78"/>
      <c r="AB5" s="52">
        <f>SUM(Y5+Z5+AA5)</f>
        <v>0</v>
      </c>
    </row>
    <row r="6" spans="1:28" ht="12.75" customHeight="1" x14ac:dyDescent="0.15">
      <c r="A6" s="38">
        <v>46244</v>
      </c>
      <c r="B6" s="74"/>
      <c r="C6" s="104"/>
      <c r="D6" s="74"/>
      <c r="E6" s="100"/>
      <c r="F6" s="171"/>
      <c r="G6" s="102"/>
      <c r="H6" s="59"/>
      <c r="I6" s="102"/>
      <c r="J6" s="59"/>
      <c r="K6" s="102"/>
      <c r="L6" s="59"/>
      <c r="M6" s="100"/>
      <c r="N6" s="59"/>
      <c r="O6" s="102"/>
      <c r="P6" s="59"/>
      <c r="Q6" s="102"/>
      <c r="R6" s="59"/>
      <c r="S6" s="102"/>
      <c r="T6" s="59"/>
      <c r="U6" s="104"/>
      <c r="V6" s="59"/>
      <c r="W6" s="79"/>
      <c r="X6" s="89"/>
      <c r="Y6" s="89"/>
      <c r="Z6" s="79"/>
      <c r="AA6" s="79"/>
      <c r="AB6" s="53"/>
    </row>
    <row r="7" spans="1:28" ht="12.75" customHeight="1" x14ac:dyDescent="0.15">
      <c r="A7" s="12" t="s">
        <v>18</v>
      </c>
      <c r="B7" s="73"/>
      <c r="C7" s="103"/>
      <c r="D7" s="73"/>
      <c r="E7" s="99"/>
      <c r="F7" s="170"/>
      <c r="G7" s="101"/>
      <c r="H7" s="58"/>
      <c r="I7" s="101"/>
      <c r="J7" s="58"/>
      <c r="K7" s="101"/>
      <c r="L7" s="58"/>
      <c r="M7" s="99"/>
      <c r="N7" s="58"/>
      <c r="O7" s="101"/>
      <c r="P7" s="58"/>
      <c r="Q7" s="101"/>
      <c r="R7" s="58"/>
      <c r="S7" s="101"/>
      <c r="T7" s="58"/>
      <c r="U7" s="103"/>
      <c r="V7" s="58">
        <f>MIN(9, SUM(B7, D7,F7,H7,J7, L7, N7, P7, R7, T7))</f>
        <v>0</v>
      </c>
      <c r="W7" s="105">
        <f>MAX(0, SUM(B7,D7, F7,H7,J7, L7, N7, P7, R7, T7) - 9)</f>
        <v>0</v>
      </c>
      <c r="X7" s="88">
        <f>SUM(B7, D7,F7,H7,J7, L7, N7, P7, R7, T7)</f>
        <v>0</v>
      </c>
      <c r="Y7" s="152">
        <f t="shared" ref="Y7:Y14" si="0">C7</f>
        <v>0</v>
      </c>
      <c r="Z7" s="78">
        <f t="shared" ref="Z7:Z14" si="1">SUM(E7+G7+I7+K7+M7+O7+Q7+S7+U7)</f>
        <v>0</v>
      </c>
      <c r="AA7" s="78"/>
      <c r="AB7" s="52">
        <f t="shared" ref="AB7" si="2">SUM(Y7+Z7+AA7)</f>
        <v>0</v>
      </c>
    </row>
    <row r="8" spans="1:28" ht="12.75" customHeight="1" x14ac:dyDescent="0.15">
      <c r="A8" s="38">
        <f>A6+1</f>
        <v>46245</v>
      </c>
      <c r="B8" s="74"/>
      <c r="C8" s="104"/>
      <c r="D8" s="74"/>
      <c r="E8" s="100"/>
      <c r="F8" s="171"/>
      <c r="G8" s="102"/>
      <c r="H8" s="59"/>
      <c r="I8" s="102"/>
      <c r="J8" s="59"/>
      <c r="K8" s="102"/>
      <c r="L8" s="59"/>
      <c r="M8" s="100"/>
      <c r="N8" s="59"/>
      <c r="O8" s="102"/>
      <c r="P8" s="59"/>
      <c r="Q8" s="102"/>
      <c r="R8" s="59"/>
      <c r="S8" s="102"/>
      <c r="T8" s="59"/>
      <c r="U8" s="104"/>
      <c r="V8" s="59"/>
      <c r="W8" s="79"/>
      <c r="X8" s="89"/>
      <c r="Y8" s="89"/>
      <c r="Z8" s="79"/>
      <c r="AA8" s="79"/>
      <c r="AB8" s="53"/>
    </row>
    <row r="9" spans="1:28" ht="12.75" customHeight="1" x14ac:dyDescent="0.15">
      <c r="A9" s="12" t="s">
        <v>19</v>
      </c>
      <c r="B9" s="73"/>
      <c r="C9" s="103"/>
      <c r="D9" s="73"/>
      <c r="E9" s="99"/>
      <c r="F9" s="170"/>
      <c r="G9" s="101"/>
      <c r="H9" s="58"/>
      <c r="I9" s="101"/>
      <c r="J9" s="58"/>
      <c r="K9" s="101"/>
      <c r="L9" s="58"/>
      <c r="M9" s="99"/>
      <c r="N9" s="58"/>
      <c r="O9" s="101"/>
      <c r="P9" s="58"/>
      <c r="Q9" s="101"/>
      <c r="R9" s="58"/>
      <c r="S9" s="101"/>
      <c r="T9" s="58"/>
      <c r="U9" s="103"/>
      <c r="V9" s="58">
        <f>MIN(9, SUM(B9, D9,F9,H9,J9, L9, N9, P9, R9, T9))</f>
        <v>0</v>
      </c>
      <c r="W9" s="105">
        <f>MAX(0, SUM(B9,D9, F9,H9,J9, L9, N9, P9, R9, T9) - 9)</f>
        <v>0</v>
      </c>
      <c r="X9" s="88">
        <f>SUM(B9, D9,F9,H9,J9, L9, N9, P9, R9, T9)</f>
        <v>0</v>
      </c>
      <c r="Y9" s="152">
        <f t="shared" ref="Y9:Y14" si="3">C9</f>
        <v>0</v>
      </c>
      <c r="Z9" s="78">
        <f t="shared" ref="Z9:Z14" si="4">SUM(E9+G9+I9+K9+M9+O9+Q9+S9+U9)</f>
        <v>0</v>
      </c>
      <c r="AA9" s="78"/>
      <c r="AB9" s="52">
        <f t="shared" ref="AB9" si="5">SUM(Y9+Z9+AA9)</f>
        <v>0</v>
      </c>
    </row>
    <row r="10" spans="1:28" ht="12.75" customHeight="1" x14ac:dyDescent="0.15">
      <c r="A10" s="38">
        <f>A8+1</f>
        <v>46246</v>
      </c>
      <c r="B10" s="74"/>
      <c r="C10" s="104"/>
      <c r="D10" s="74"/>
      <c r="E10" s="100"/>
      <c r="F10" s="171"/>
      <c r="G10" s="102"/>
      <c r="H10" s="59"/>
      <c r="I10" s="102"/>
      <c r="J10" s="59"/>
      <c r="K10" s="102"/>
      <c r="L10" s="59"/>
      <c r="M10" s="100"/>
      <c r="N10" s="59"/>
      <c r="O10" s="102"/>
      <c r="P10" s="59"/>
      <c r="Q10" s="102"/>
      <c r="R10" s="59"/>
      <c r="S10" s="102"/>
      <c r="T10" s="59"/>
      <c r="U10" s="104"/>
      <c r="V10" s="59"/>
      <c r="W10" s="79"/>
      <c r="X10" s="89"/>
      <c r="Y10" s="89"/>
      <c r="Z10" s="79"/>
      <c r="AA10" s="79"/>
      <c r="AB10" s="53"/>
    </row>
    <row r="11" spans="1:28" ht="12.75" customHeight="1" x14ac:dyDescent="0.15">
      <c r="A11" s="12" t="s">
        <v>20</v>
      </c>
      <c r="B11" s="168"/>
      <c r="C11" s="97"/>
      <c r="D11" s="73"/>
      <c r="E11" s="99"/>
      <c r="F11" s="170"/>
      <c r="G11" s="101"/>
      <c r="H11" s="58"/>
      <c r="I11" s="101"/>
      <c r="J11" s="58"/>
      <c r="K11" s="101"/>
      <c r="L11" s="58"/>
      <c r="M11" s="99"/>
      <c r="N11" s="54"/>
      <c r="O11" s="60"/>
      <c r="P11" s="54"/>
      <c r="Q11" s="60"/>
      <c r="R11" s="54"/>
      <c r="S11" s="60"/>
      <c r="T11" s="54"/>
      <c r="U11" s="75"/>
      <c r="V11" s="58">
        <f>MIN(9, SUM(B11, D11,F11,H11,J11, L11, N11, P11, R11, T11))</f>
        <v>0</v>
      </c>
      <c r="W11" s="105">
        <f>MAX(0, SUM(B11,D11, F11,H11,J11, L11, N11, P11, R11, T11) - 9)</f>
        <v>0</v>
      </c>
      <c r="X11" s="88">
        <f>SUM(B11, D11,F11,H11,J11, L11, N11, P11, R11, T11)</f>
        <v>0</v>
      </c>
      <c r="Y11" s="152">
        <f t="shared" ref="Y11:Y14" si="6">C11</f>
        <v>0</v>
      </c>
      <c r="Z11" s="78">
        <f t="shared" ref="Z11:Z14" si="7">SUM(E11+G11+I11+K11+M11+O11+Q11+S11+U11)</f>
        <v>0</v>
      </c>
      <c r="AA11" s="82"/>
      <c r="AB11" s="52">
        <f t="shared" ref="AB11" si="8">SUM(Y11+Z11+AA11)</f>
        <v>0</v>
      </c>
    </row>
    <row r="12" spans="1:28" ht="12.75" customHeight="1" x14ac:dyDescent="0.15">
      <c r="A12" s="38">
        <f>A10+1</f>
        <v>46247</v>
      </c>
      <c r="B12" s="169"/>
      <c r="C12" s="98"/>
      <c r="D12" s="74"/>
      <c r="E12" s="100"/>
      <c r="F12" s="171"/>
      <c r="G12" s="102"/>
      <c r="H12" s="59"/>
      <c r="I12" s="102"/>
      <c r="J12" s="59"/>
      <c r="K12" s="102"/>
      <c r="L12" s="59"/>
      <c r="M12" s="100"/>
      <c r="N12" s="55"/>
      <c r="O12" s="81"/>
      <c r="P12" s="55"/>
      <c r="Q12" s="81"/>
      <c r="R12" s="55"/>
      <c r="S12" s="81"/>
      <c r="T12" s="55"/>
      <c r="U12" s="76"/>
      <c r="V12" s="59"/>
      <c r="W12" s="79"/>
      <c r="X12" s="89"/>
      <c r="Y12" s="89"/>
      <c r="Z12" s="79"/>
      <c r="AA12" s="83"/>
      <c r="AB12" s="53"/>
    </row>
    <row r="13" spans="1:28" ht="12.75" customHeight="1" x14ac:dyDescent="0.15">
      <c r="A13" s="12" t="s">
        <v>21</v>
      </c>
      <c r="B13" s="166"/>
      <c r="C13" s="75"/>
      <c r="D13" s="73"/>
      <c r="E13" s="99"/>
      <c r="F13" s="170"/>
      <c r="G13" s="101"/>
      <c r="H13" s="58"/>
      <c r="I13" s="101"/>
      <c r="J13" s="58"/>
      <c r="K13" s="101"/>
      <c r="L13" s="58"/>
      <c r="M13" s="99"/>
      <c r="N13" s="54"/>
      <c r="O13" s="60"/>
      <c r="P13" s="54"/>
      <c r="Q13" s="60"/>
      <c r="R13" s="54"/>
      <c r="S13" s="60"/>
      <c r="T13" s="54"/>
      <c r="U13" s="75"/>
      <c r="V13" s="58">
        <f>MIN(9, SUM(B13, D13,F13,H13,J13, L13, N13, P13, R13, T13))</f>
        <v>0</v>
      </c>
      <c r="W13" s="105">
        <f>MAX(0, SUM(B13,D13, F13,H13,J13, L13, N13, P13, R13, T13) - 9)</f>
        <v>0</v>
      </c>
      <c r="X13" s="88">
        <f>SUM(B13, D13,F13,H13,J13, L13, N13, P13, R13, T13)</f>
        <v>0</v>
      </c>
      <c r="Y13" s="152">
        <f t="shared" ref="Y13:Y14" si="9">C13</f>
        <v>0</v>
      </c>
      <c r="Z13" s="78">
        <f t="shared" ref="Z13:Z14" si="10">SUM(E13+G13+I13+K13+M13+O13+Q13+S13+U13)</f>
        <v>0</v>
      </c>
      <c r="AA13" s="82"/>
      <c r="AB13" s="52">
        <f t="shared" ref="AB13" si="11">SUM(Y13+Z13+AA13)</f>
        <v>0</v>
      </c>
    </row>
    <row r="14" spans="1:28" ht="12.75" customHeight="1" x14ac:dyDescent="0.15">
      <c r="A14" s="38">
        <f>A12+1</f>
        <v>46248</v>
      </c>
      <c r="B14" s="182"/>
      <c r="C14" s="76"/>
      <c r="D14" s="74"/>
      <c r="E14" s="100"/>
      <c r="F14" s="171"/>
      <c r="G14" s="102"/>
      <c r="H14" s="59"/>
      <c r="I14" s="102"/>
      <c r="J14" s="59"/>
      <c r="K14" s="102"/>
      <c r="L14" s="59"/>
      <c r="M14" s="100"/>
      <c r="N14" s="55"/>
      <c r="O14" s="81"/>
      <c r="P14" s="55"/>
      <c r="Q14" s="81"/>
      <c r="R14" s="55"/>
      <c r="S14" s="81"/>
      <c r="T14" s="55"/>
      <c r="U14" s="76"/>
      <c r="V14" s="59"/>
      <c r="W14" s="79"/>
      <c r="X14" s="89"/>
      <c r="Y14" s="89"/>
      <c r="Z14" s="79"/>
      <c r="AA14" s="83"/>
      <c r="AB14" s="53"/>
    </row>
    <row r="15" spans="1:28" ht="12.75" customHeight="1" x14ac:dyDescent="0.15">
      <c r="A15" s="12" t="s">
        <v>22</v>
      </c>
      <c r="B15" s="166"/>
      <c r="C15" s="75"/>
      <c r="D15" s="166"/>
      <c r="E15" s="60"/>
      <c r="F15" s="54"/>
      <c r="G15" s="60"/>
      <c r="H15" s="54"/>
      <c r="I15" s="60"/>
      <c r="J15" s="54"/>
      <c r="K15" s="60"/>
      <c r="L15" s="54"/>
      <c r="M15" s="60"/>
      <c r="N15" s="54"/>
      <c r="O15" s="60"/>
      <c r="P15" s="54"/>
      <c r="Q15" s="60"/>
      <c r="R15" s="54"/>
      <c r="S15" s="60"/>
      <c r="T15" s="54"/>
      <c r="U15" s="75"/>
      <c r="V15" s="84"/>
      <c r="W15" s="159"/>
      <c r="X15" s="86"/>
      <c r="Y15" s="157"/>
      <c r="Z15" s="82"/>
      <c r="AA15" s="82"/>
      <c r="AB15" s="86"/>
    </row>
    <row r="16" spans="1:28" ht="12.75" customHeight="1" x14ac:dyDescent="0.15">
      <c r="A16" s="38">
        <f>A14+1</f>
        <v>46249</v>
      </c>
      <c r="B16" s="182"/>
      <c r="C16" s="76"/>
      <c r="D16" s="182"/>
      <c r="E16" s="81"/>
      <c r="F16" s="55"/>
      <c r="G16" s="81"/>
      <c r="H16" s="55"/>
      <c r="I16" s="178"/>
      <c r="J16" s="55"/>
      <c r="K16" s="81"/>
      <c r="L16" s="55"/>
      <c r="M16" s="81"/>
      <c r="N16" s="55"/>
      <c r="O16" s="81"/>
      <c r="P16" s="55"/>
      <c r="Q16" s="81"/>
      <c r="R16" s="55"/>
      <c r="S16" s="81"/>
      <c r="T16" s="55"/>
      <c r="U16" s="76"/>
      <c r="V16" s="92"/>
      <c r="W16" s="179"/>
      <c r="X16" s="93"/>
      <c r="Y16" s="158"/>
      <c r="Z16" s="83"/>
      <c r="AA16" s="83"/>
      <c r="AB16" s="93"/>
    </row>
    <row r="17" spans="1:28" ht="12.75" customHeight="1" x14ac:dyDescent="0.15">
      <c r="A17" s="12" t="s">
        <v>23</v>
      </c>
      <c r="B17" s="166"/>
      <c r="C17" s="75"/>
      <c r="D17" s="166"/>
      <c r="E17" s="56"/>
      <c r="F17" s="129"/>
      <c r="G17" s="60"/>
      <c r="H17" s="54"/>
      <c r="I17" s="183"/>
      <c r="J17" s="54"/>
      <c r="K17" s="60"/>
      <c r="L17" s="54"/>
      <c r="M17" s="60"/>
      <c r="N17" s="54"/>
      <c r="O17" s="60"/>
      <c r="P17" s="54"/>
      <c r="Q17" s="60"/>
      <c r="R17" s="54"/>
      <c r="S17" s="60"/>
      <c r="T17" s="54"/>
      <c r="U17" s="75"/>
      <c r="V17" s="84"/>
      <c r="W17" s="159"/>
      <c r="X17" s="86"/>
      <c r="Y17" s="157"/>
      <c r="Z17" s="82"/>
      <c r="AA17" s="82"/>
      <c r="AB17" s="86"/>
    </row>
    <row r="18" spans="1:28" ht="12.75" customHeight="1" thickBot="1" x14ac:dyDescent="0.2">
      <c r="A18" s="38">
        <f>A16+1</f>
        <v>46250</v>
      </c>
      <c r="B18" s="167"/>
      <c r="C18" s="131"/>
      <c r="D18" s="167"/>
      <c r="E18" s="57"/>
      <c r="F18" s="130"/>
      <c r="G18" s="61"/>
      <c r="H18" s="162"/>
      <c r="I18" s="111"/>
      <c r="J18" s="80"/>
      <c r="K18" s="111"/>
      <c r="L18" s="80"/>
      <c r="M18" s="111"/>
      <c r="N18" s="162"/>
      <c r="O18" s="61"/>
      <c r="P18" s="162"/>
      <c r="Q18" s="111"/>
      <c r="R18" s="80"/>
      <c r="S18" s="111"/>
      <c r="T18" s="80"/>
      <c r="U18" s="131"/>
      <c r="V18" s="85"/>
      <c r="W18" s="160"/>
      <c r="X18" s="87"/>
      <c r="Y18" s="165"/>
      <c r="Z18" s="94"/>
      <c r="AA18" s="94"/>
      <c r="AB18" s="87"/>
    </row>
    <row r="19" spans="1:28" ht="12.75" customHeight="1" thickTop="1" thickBot="1" x14ac:dyDescent="0.2">
      <c r="A19" s="24" t="s">
        <v>24</v>
      </c>
      <c r="B19" s="13">
        <f t="shared" ref="B19:AA19" si="12">SUM(B5:B18)</f>
        <v>0</v>
      </c>
      <c r="C19" s="13">
        <f t="shared" si="12"/>
        <v>0</v>
      </c>
      <c r="D19" s="13">
        <f t="shared" si="12"/>
        <v>0</v>
      </c>
      <c r="E19" s="30">
        <f t="shared" si="12"/>
        <v>0</v>
      </c>
      <c r="F19" s="30">
        <f t="shared" si="12"/>
        <v>0</v>
      </c>
      <c r="G19" s="30">
        <f t="shared" si="12"/>
        <v>0</v>
      </c>
      <c r="H19" s="30">
        <f t="shared" si="12"/>
        <v>0</v>
      </c>
      <c r="I19" s="13">
        <f t="shared" si="12"/>
        <v>0</v>
      </c>
      <c r="J19" s="13">
        <f t="shared" si="12"/>
        <v>0</v>
      </c>
      <c r="K19" s="13">
        <f t="shared" si="12"/>
        <v>0</v>
      </c>
      <c r="L19" s="13">
        <f t="shared" si="12"/>
        <v>0</v>
      </c>
      <c r="M19" s="13">
        <f t="shared" si="12"/>
        <v>0</v>
      </c>
      <c r="N19" s="30">
        <f t="shared" si="12"/>
        <v>0</v>
      </c>
      <c r="O19" s="30">
        <f t="shared" si="12"/>
        <v>0</v>
      </c>
      <c r="P19" s="30">
        <f t="shared" si="12"/>
        <v>0</v>
      </c>
      <c r="Q19" s="33">
        <f t="shared" si="12"/>
        <v>0</v>
      </c>
      <c r="R19" s="32">
        <f t="shared" si="12"/>
        <v>0</v>
      </c>
      <c r="S19" s="13">
        <f t="shared" si="12"/>
        <v>0</v>
      </c>
      <c r="T19" s="13">
        <f t="shared" si="12"/>
        <v>0</v>
      </c>
      <c r="U19" s="13">
        <f t="shared" si="12"/>
        <v>0</v>
      </c>
      <c r="V19" s="14">
        <f t="shared" si="12"/>
        <v>0</v>
      </c>
      <c r="W19" s="15">
        <f t="shared" si="12"/>
        <v>0</v>
      </c>
      <c r="X19" s="14">
        <f t="shared" si="12"/>
        <v>0</v>
      </c>
      <c r="Y19" s="16">
        <f t="shared" si="12"/>
        <v>0</v>
      </c>
      <c r="Z19" s="16">
        <f t="shared" si="12"/>
        <v>0</v>
      </c>
      <c r="AA19" s="16">
        <f t="shared" si="12"/>
        <v>0</v>
      </c>
      <c r="AB19" s="16">
        <f>SUM(Y19:AA19)</f>
        <v>0</v>
      </c>
    </row>
    <row r="20" spans="1:28" ht="12.75" customHeight="1" thickBot="1" x14ac:dyDescent="0.2">
      <c r="A20" s="185" t="s">
        <v>25</v>
      </c>
      <c r="B20" s="68"/>
      <c r="C20" s="68"/>
      <c r="D20" s="66"/>
      <c r="E20" s="68"/>
      <c r="F20" s="68"/>
      <c r="G20" s="68"/>
      <c r="H20" s="66"/>
      <c r="I20" s="67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  <c r="AA20" s="68"/>
      <c r="AB20" s="69"/>
    </row>
    <row r="21" spans="1:28" ht="22.5" customHeight="1" x14ac:dyDescent="0.15">
      <c r="A21" s="17" t="s">
        <v>26</v>
      </c>
      <c r="B21" s="18"/>
      <c r="C21" s="19"/>
      <c r="D21" s="18"/>
      <c r="E21" s="19"/>
      <c r="F21" s="18"/>
      <c r="G21" s="18"/>
      <c r="H21" s="18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20"/>
      <c r="V21" s="154" t="s">
        <v>27</v>
      </c>
      <c r="W21" s="155"/>
      <c r="X21" s="156"/>
      <c r="Y21" s="145" t="s">
        <v>28</v>
      </c>
      <c r="Z21" s="146"/>
      <c r="AA21" s="163"/>
      <c r="AB21" s="156"/>
    </row>
    <row r="22" spans="1:28" ht="21.75" customHeight="1" thickBot="1" x14ac:dyDescent="0.2">
      <c r="A22" s="21" t="s">
        <v>29</v>
      </c>
      <c r="B22" s="153"/>
      <c r="C22" s="115"/>
      <c r="D22" s="153"/>
      <c r="E22" s="115"/>
      <c r="F22" s="153"/>
      <c r="G22" s="115"/>
      <c r="H22" s="153"/>
      <c r="I22" s="115"/>
      <c r="J22" s="114"/>
      <c r="K22" s="115"/>
      <c r="L22" s="114"/>
      <c r="M22" s="115"/>
      <c r="N22" s="114"/>
      <c r="O22" s="115"/>
      <c r="P22" s="114"/>
      <c r="Q22" s="115"/>
      <c r="R22" s="114"/>
      <c r="S22" s="115"/>
      <c r="T22" s="161"/>
      <c r="U22" s="72"/>
      <c r="V22" s="147"/>
      <c r="W22" s="71"/>
      <c r="X22" s="71"/>
      <c r="Y22" s="136" t="s">
        <v>30</v>
      </c>
      <c r="Z22" s="137"/>
      <c r="AA22" s="144"/>
      <c r="AB22" s="104"/>
    </row>
    <row r="23" spans="1:28" ht="11.25" customHeight="1" x14ac:dyDescent="0.15">
      <c r="A23" s="46"/>
      <c r="B23" s="47"/>
      <c r="C23" s="47"/>
      <c r="D23" s="39">
        <f>A18+1</f>
        <v>46251</v>
      </c>
      <c r="E23" s="40"/>
      <c r="F23" s="41"/>
      <c r="G23" s="135"/>
      <c r="H23" s="63"/>
      <c r="I23" s="63"/>
      <c r="J23" s="63"/>
      <c r="K23" s="63"/>
      <c r="L23" s="63"/>
      <c r="M23" s="63"/>
      <c r="N23" s="64"/>
      <c r="O23" s="180" t="s">
        <v>31</v>
      </c>
      <c r="P23" s="63"/>
      <c r="Q23" s="63"/>
      <c r="R23" s="63"/>
      <c r="S23" s="63"/>
      <c r="T23" s="63"/>
      <c r="U23" s="63"/>
      <c r="V23" s="63"/>
      <c r="W23" s="63"/>
      <c r="X23" s="63"/>
      <c r="Y23" s="136" t="s">
        <v>32</v>
      </c>
      <c r="Z23" s="118"/>
      <c r="AA23" s="142">
        <f>AB19</f>
        <v>0</v>
      </c>
      <c r="AB23" s="124"/>
    </row>
    <row r="24" spans="1:28" ht="14.25" customHeight="1" x14ac:dyDescent="0.15">
      <c r="A24" s="48"/>
      <c r="B24" s="49"/>
      <c r="C24" s="49"/>
      <c r="D24" s="42"/>
      <c r="E24" s="42"/>
      <c r="F24" s="43"/>
      <c r="G24" s="65"/>
      <c r="H24" s="66"/>
      <c r="I24" s="67"/>
      <c r="J24" s="68"/>
      <c r="K24" s="68"/>
      <c r="L24" s="68"/>
      <c r="M24" s="68"/>
      <c r="N24" s="69"/>
      <c r="O24" s="151" t="s">
        <v>33</v>
      </c>
      <c r="P24" s="68"/>
      <c r="Q24" s="77"/>
      <c r="R24" s="68"/>
      <c r="S24" s="22" t="s">
        <v>34</v>
      </c>
      <c r="T24" s="77"/>
      <c r="U24" s="68"/>
      <c r="V24" s="68"/>
      <c r="W24" s="23" t="s">
        <v>35</v>
      </c>
      <c r="X24" s="27"/>
      <c r="Y24" s="148"/>
      <c r="Z24" s="149"/>
      <c r="AA24" s="143"/>
      <c r="AB24" s="104"/>
    </row>
    <row r="25" spans="1:28" ht="25.5" customHeight="1" x14ac:dyDescent="0.15">
      <c r="A25" s="50"/>
      <c r="B25" s="51"/>
      <c r="C25" s="51"/>
      <c r="D25" s="44"/>
      <c r="E25" s="44"/>
      <c r="F25" s="45"/>
      <c r="G25" s="65"/>
      <c r="H25" s="66"/>
      <c r="I25" s="67"/>
      <c r="J25" s="68"/>
      <c r="K25" s="68"/>
      <c r="L25" s="68"/>
      <c r="M25" s="68"/>
      <c r="N25" s="69"/>
      <c r="O25" s="184" t="s">
        <v>36</v>
      </c>
      <c r="P25" s="68"/>
      <c r="Q25" s="186"/>
      <c r="R25" s="100"/>
      <c r="S25" s="100"/>
      <c r="T25" s="100"/>
      <c r="U25" s="100"/>
      <c r="V25" s="100"/>
      <c r="W25" s="100"/>
      <c r="X25" s="104"/>
      <c r="Y25" s="136" t="s">
        <v>37</v>
      </c>
      <c r="Z25" s="137"/>
      <c r="AA25" s="142">
        <f>Y19+Z19</f>
        <v>0</v>
      </c>
      <c r="AB25" s="140"/>
    </row>
    <row r="26" spans="1:28" ht="22.5" customHeight="1" thickBot="1" x14ac:dyDescent="0.2">
      <c r="A26" s="116" t="s">
        <v>38</v>
      </c>
      <c r="B26" s="117"/>
      <c r="C26" s="118"/>
      <c r="D26" s="123" t="s">
        <v>35</v>
      </c>
      <c r="E26" s="117"/>
      <c r="F26" s="124"/>
      <c r="G26" s="116" t="s">
        <v>39</v>
      </c>
      <c r="H26" s="117"/>
      <c r="I26" s="117"/>
      <c r="J26" s="117"/>
      <c r="K26" s="118"/>
      <c r="L26" s="123" t="s">
        <v>35</v>
      </c>
      <c r="M26" s="117"/>
      <c r="N26" s="124"/>
      <c r="O26" s="184" t="s">
        <v>40</v>
      </c>
      <c r="P26" s="68"/>
      <c r="Q26" s="138"/>
      <c r="R26" s="139"/>
      <c r="S26" s="139"/>
      <c r="T26" s="139"/>
      <c r="U26" s="139"/>
      <c r="V26" s="139"/>
      <c r="W26" s="139"/>
      <c r="X26" s="140"/>
      <c r="Y26" s="164" t="s">
        <v>41</v>
      </c>
      <c r="Z26" s="118"/>
      <c r="AA26" s="141">
        <f>AA23-AA25</f>
        <v>0</v>
      </c>
      <c r="AB26" s="124"/>
    </row>
    <row r="27" spans="1:28" ht="3.75" customHeight="1" x14ac:dyDescent="0.15">
      <c r="A27" s="70"/>
      <c r="B27" s="71"/>
      <c r="C27" s="115"/>
      <c r="D27" s="125"/>
      <c r="E27" s="71"/>
      <c r="F27" s="72"/>
      <c r="G27" s="70"/>
      <c r="H27" s="71"/>
      <c r="I27" s="71"/>
      <c r="J27" s="71"/>
      <c r="K27" s="115"/>
      <c r="L27" s="125"/>
      <c r="M27" s="71"/>
      <c r="N27" s="72"/>
      <c r="O27" s="150"/>
      <c r="P27" s="71"/>
      <c r="Q27" s="71"/>
      <c r="R27" s="71"/>
      <c r="S27" s="71"/>
      <c r="T27" s="71"/>
      <c r="U27" s="71"/>
      <c r="V27" s="71"/>
      <c r="W27" s="71"/>
      <c r="X27" s="72"/>
      <c r="Y27" s="70"/>
      <c r="Z27" s="115"/>
      <c r="AA27" s="125"/>
      <c r="AB27" s="72"/>
    </row>
    <row r="28" spans="1:28" ht="12.75" customHeight="1" x14ac:dyDescent="0.15">
      <c r="A28" s="177"/>
      <c r="B28" s="63"/>
      <c r="C28" s="63"/>
      <c r="D28" s="63"/>
      <c r="E28" s="63"/>
      <c r="F28" s="64"/>
      <c r="G28" s="62" t="s">
        <v>42</v>
      </c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4"/>
      <c r="X28" s="134" t="s">
        <v>43</v>
      </c>
      <c r="Y28" s="68"/>
      <c r="Z28" s="68"/>
      <c r="AA28" s="68"/>
      <c r="AB28" s="69"/>
    </row>
    <row r="29" spans="1:28" ht="12.75" customHeight="1" x14ac:dyDescent="0.15">
      <c r="A29" s="65"/>
      <c r="B29" s="68"/>
      <c r="C29" s="68"/>
      <c r="D29" s="66"/>
      <c r="E29" s="68"/>
      <c r="F29" s="69"/>
      <c r="G29" s="65"/>
      <c r="H29" s="66"/>
      <c r="I29" s="67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9"/>
      <c r="X29" s="65"/>
      <c r="Y29" s="68"/>
      <c r="Z29" s="68"/>
      <c r="AA29" s="68"/>
      <c r="AB29" s="69"/>
    </row>
    <row r="30" spans="1:28" ht="12.75" customHeight="1" x14ac:dyDescent="0.15">
      <c r="A30" s="65"/>
      <c r="B30" s="68"/>
      <c r="C30" s="68"/>
      <c r="D30" s="66"/>
      <c r="E30" s="68"/>
      <c r="F30" s="69"/>
      <c r="G30" s="65"/>
      <c r="H30" s="66"/>
      <c r="I30" s="67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9"/>
      <c r="X30" s="65"/>
      <c r="Y30" s="68"/>
      <c r="Z30" s="68"/>
      <c r="AA30" s="68"/>
      <c r="AB30" s="69"/>
    </row>
    <row r="31" spans="1:28" ht="12.75" customHeight="1" x14ac:dyDescent="0.15">
      <c r="A31" s="65"/>
      <c r="B31" s="68"/>
      <c r="C31" s="68"/>
      <c r="D31" s="66"/>
      <c r="E31" s="68"/>
      <c r="F31" s="69"/>
      <c r="G31" s="65"/>
      <c r="H31" s="66"/>
      <c r="I31" s="67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9"/>
      <c r="X31" s="181" t="s">
        <v>44</v>
      </c>
      <c r="Y31" s="68"/>
      <c r="Z31" s="68"/>
      <c r="AA31" s="68"/>
      <c r="AB31" s="69"/>
    </row>
    <row r="32" spans="1:28" ht="12.75" customHeight="1" x14ac:dyDescent="0.15">
      <c r="A32" s="70"/>
      <c r="B32" s="71"/>
      <c r="C32" s="71"/>
      <c r="D32" s="71"/>
      <c r="E32" s="71"/>
      <c r="F32" s="72"/>
      <c r="G32" s="70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2"/>
      <c r="X32" s="70"/>
      <c r="Y32" s="71"/>
      <c r="Z32" s="71"/>
      <c r="AA32" s="71"/>
      <c r="AB32" s="72"/>
    </row>
    <row r="33" ht="12.75" customHeight="1" x14ac:dyDescent="0.15"/>
    <row r="34" ht="12.75" customHeight="1" x14ac:dyDescent="0.15"/>
    <row r="35" ht="12.75" customHeight="1" x14ac:dyDescent="0.15"/>
    <row r="36" ht="12.75" customHeight="1" x14ac:dyDescent="0.15"/>
    <row r="37" ht="12.75" customHeight="1" x14ac:dyDescent="0.15"/>
    <row r="38" ht="12.75" customHeight="1" x14ac:dyDescent="0.15"/>
    <row r="39" ht="12.75" customHeight="1" x14ac:dyDescent="0.15"/>
    <row r="40" ht="12.75" customHeight="1" x14ac:dyDescent="0.15"/>
    <row r="41" ht="12.75" customHeight="1" x14ac:dyDescent="0.15"/>
    <row r="42" ht="12.75" customHeight="1" x14ac:dyDescent="0.15"/>
    <row r="43" ht="12.75" customHeight="1" x14ac:dyDescent="0.15"/>
    <row r="44" ht="12.75" customHeight="1" x14ac:dyDescent="0.15"/>
    <row r="45" ht="12.75" customHeight="1" x14ac:dyDescent="0.15"/>
    <row r="46" ht="12.75" customHeight="1" x14ac:dyDescent="0.15"/>
    <row r="47" ht="12.75" customHeight="1" x14ac:dyDescent="0.15"/>
    <row r="48" ht="12.75" customHeight="1" x14ac:dyDescent="0.15"/>
    <row r="49" ht="12.75" customHeight="1" x14ac:dyDescent="0.15"/>
    <row r="50" ht="12.75" customHeight="1" x14ac:dyDescent="0.15"/>
    <row r="51" ht="12.75" customHeight="1" x14ac:dyDescent="0.15"/>
    <row r="52" ht="12.75" customHeight="1" x14ac:dyDescent="0.15"/>
    <row r="53" ht="12.75" customHeight="1" x14ac:dyDescent="0.15"/>
    <row r="54" ht="12.75" customHeight="1" x14ac:dyDescent="0.15"/>
    <row r="55" ht="12.75" customHeight="1" x14ac:dyDescent="0.15"/>
    <row r="56" ht="12.75" customHeight="1" x14ac:dyDescent="0.15"/>
    <row r="57" ht="12.75" customHeight="1" x14ac:dyDescent="0.15"/>
    <row r="58" ht="12.75" customHeight="1" x14ac:dyDescent="0.15"/>
    <row r="59" ht="12.75" customHeight="1" x14ac:dyDescent="0.15"/>
    <row r="60" ht="12.75" customHeight="1" x14ac:dyDescent="0.15"/>
    <row r="61" ht="12.75" customHeight="1" x14ac:dyDescent="0.15"/>
    <row r="62" ht="12.75" customHeight="1" x14ac:dyDescent="0.15"/>
    <row r="63" ht="12.75" customHeight="1" x14ac:dyDescent="0.15"/>
    <row r="64" ht="12.75" customHeight="1" x14ac:dyDescent="0.15"/>
    <row r="65" ht="12.75" customHeight="1" x14ac:dyDescent="0.15"/>
    <row r="66" ht="12.75" customHeight="1" x14ac:dyDescent="0.15"/>
    <row r="67" ht="12.75" customHeight="1" x14ac:dyDescent="0.15"/>
    <row r="68" ht="12.75" customHeight="1" x14ac:dyDescent="0.15"/>
    <row r="69" ht="12.75" customHeight="1" x14ac:dyDescent="0.15"/>
    <row r="70" ht="12.75" customHeight="1" x14ac:dyDescent="0.15"/>
    <row r="71" ht="12.75" customHeight="1" x14ac:dyDescent="0.15"/>
    <row r="72" ht="12.75" customHeight="1" x14ac:dyDescent="0.15"/>
    <row r="73" ht="12.75" customHeight="1" x14ac:dyDescent="0.15"/>
    <row r="74" ht="12.75" customHeight="1" x14ac:dyDescent="0.15"/>
    <row r="75" ht="12.75" customHeight="1" x14ac:dyDescent="0.15"/>
    <row r="76" ht="12.75" customHeight="1" x14ac:dyDescent="0.15"/>
    <row r="77" ht="12.75" customHeight="1" x14ac:dyDescent="0.15"/>
    <row r="78" ht="12.75" customHeight="1" x14ac:dyDescent="0.15"/>
    <row r="79" ht="12.75" customHeight="1" x14ac:dyDescent="0.15"/>
    <row r="80" ht="12.75" customHeight="1" x14ac:dyDescent="0.15"/>
    <row r="81" ht="12.75" customHeight="1" x14ac:dyDescent="0.15"/>
    <row r="82" ht="12.75" customHeight="1" x14ac:dyDescent="0.15"/>
    <row r="83" ht="12.75" customHeight="1" x14ac:dyDescent="0.15"/>
    <row r="84" ht="12.75" customHeight="1" x14ac:dyDescent="0.15"/>
    <row r="85" ht="12.75" customHeight="1" x14ac:dyDescent="0.15"/>
    <row r="86" ht="12.75" customHeight="1" x14ac:dyDescent="0.15"/>
    <row r="87" ht="12.75" customHeight="1" x14ac:dyDescent="0.15"/>
    <row r="88" ht="12.75" customHeight="1" x14ac:dyDescent="0.15"/>
    <row r="89" ht="12.75" customHeight="1" x14ac:dyDescent="0.15"/>
    <row r="90" ht="12.75" customHeight="1" x14ac:dyDescent="0.15"/>
    <row r="91" ht="12.75" customHeight="1" x14ac:dyDescent="0.15"/>
    <row r="92" ht="12.75" customHeight="1" x14ac:dyDescent="0.15"/>
    <row r="93" ht="12.75" customHeight="1" x14ac:dyDescent="0.15"/>
    <row r="94" ht="12.75" customHeight="1" x14ac:dyDescent="0.15"/>
    <row r="95" ht="12.75" customHeight="1" x14ac:dyDescent="0.15"/>
    <row r="96" ht="12.75" customHeight="1" x14ac:dyDescent="0.15"/>
    <row r="97" ht="12.75" customHeight="1" x14ac:dyDescent="0.15"/>
    <row r="98" ht="12.75" customHeight="1" x14ac:dyDescent="0.15"/>
    <row r="99" ht="12.75" customHeight="1" x14ac:dyDescent="0.15"/>
    <row r="100" ht="12.75" customHeight="1" x14ac:dyDescent="0.15"/>
    <row r="101" ht="12.75" customHeight="1" x14ac:dyDescent="0.15"/>
    <row r="102" ht="12.75" customHeight="1" x14ac:dyDescent="0.15"/>
    <row r="103" ht="12.75" customHeight="1" x14ac:dyDescent="0.15"/>
    <row r="104" ht="12.75" customHeight="1" x14ac:dyDescent="0.15"/>
    <row r="105" ht="12.75" customHeight="1" x14ac:dyDescent="0.15"/>
    <row r="106" ht="12.75" customHeight="1" x14ac:dyDescent="0.15"/>
    <row r="107" ht="12.75" customHeight="1" x14ac:dyDescent="0.15"/>
    <row r="108" ht="12.75" customHeight="1" x14ac:dyDescent="0.15"/>
    <row r="109" ht="12.75" customHeight="1" x14ac:dyDescent="0.15"/>
    <row r="110" ht="12.75" customHeight="1" x14ac:dyDescent="0.15"/>
    <row r="111" ht="12.75" customHeight="1" x14ac:dyDescent="0.15"/>
    <row r="112" ht="12.75" customHeight="1" x14ac:dyDescent="0.15"/>
    <row r="113" ht="12.75" customHeight="1" x14ac:dyDescent="0.15"/>
    <row r="114" ht="12.75" customHeight="1" x14ac:dyDescent="0.15"/>
    <row r="115" ht="12.75" customHeight="1" x14ac:dyDescent="0.15"/>
    <row r="116" ht="12.75" customHeight="1" x14ac:dyDescent="0.15"/>
    <row r="117" ht="12.75" customHeight="1" x14ac:dyDescent="0.15"/>
    <row r="118" ht="12.75" customHeight="1" x14ac:dyDescent="0.15"/>
    <row r="119" ht="12.75" customHeight="1" x14ac:dyDescent="0.15"/>
    <row r="120" ht="12.75" customHeight="1" x14ac:dyDescent="0.15"/>
    <row r="121" ht="12.75" customHeight="1" x14ac:dyDescent="0.15"/>
    <row r="122" ht="12.75" customHeight="1" x14ac:dyDescent="0.15"/>
    <row r="123" ht="12.75" customHeight="1" x14ac:dyDescent="0.15"/>
    <row r="124" ht="12.75" customHeight="1" x14ac:dyDescent="0.15"/>
    <row r="125" ht="12.75" customHeight="1" x14ac:dyDescent="0.15"/>
    <row r="126" ht="12.75" customHeight="1" x14ac:dyDescent="0.15"/>
    <row r="127" ht="12.75" customHeight="1" x14ac:dyDescent="0.15"/>
    <row r="128" ht="12.75" customHeight="1" x14ac:dyDescent="0.15"/>
    <row r="129" ht="12.75" customHeight="1" x14ac:dyDescent="0.15"/>
    <row r="130" ht="12.75" customHeight="1" x14ac:dyDescent="0.15"/>
    <row r="131" ht="12.75" customHeight="1" x14ac:dyDescent="0.15"/>
    <row r="132" ht="12.75" customHeight="1" x14ac:dyDescent="0.15"/>
    <row r="133" ht="12.75" customHeight="1" x14ac:dyDescent="0.15"/>
    <row r="134" ht="12.75" customHeight="1" x14ac:dyDescent="0.15"/>
    <row r="135" ht="12.75" customHeight="1" x14ac:dyDescent="0.15"/>
    <row r="136" ht="12.75" customHeight="1" x14ac:dyDescent="0.15"/>
    <row r="137" ht="12.75" customHeight="1" x14ac:dyDescent="0.15"/>
    <row r="138" ht="12.75" customHeight="1" x14ac:dyDescent="0.15"/>
    <row r="139" ht="12.75" customHeight="1" x14ac:dyDescent="0.15"/>
    <row r="140" ht="12.75" customHeight="1" x14ac:dyDescent="0.15"/>
    <row r="141" ht="12.75" customHeight="1" x14ac:dyDescent="0.15"/>
    <row r="142" ht="12.75" customHeight="1" x14ac:dyDescent="0.15"/>
    <row r="143" ht="12.75" customHeight="1" x14ac:dyDescent="0.15"/>
    <row r="144" ht="12.75" customHeight="1" x14ac:dyDescent="0.15"/>
    <row r="145" ht="12.75" customHeight="1" x14ac:dyDescent="0.15"/>
    <row r="146" ht="12.75" customHeight="1" x14ac:dyDescent="0.15"/>
    <row r="147" ht="12.75" customHeight="1" x14ac:dyDescent="0.15"/>
    <row r="148" ht="12.75" customHeight="1" x14ac:dyDescent="0.15"/>
    <row r="149" ht="12.75" customHeight="1" x14ac:dyDescent="0.15"/>
    <row r="150" ht="12.75" customHeight="1" x14ac:dyDescent="0.15"/>
    <row r="151" ht="12.75" customHeight="1" x14ac:dyDescent="0.15"/>
    <row r="152" ht="12.75" customHeight="1" x14ac:dyDescent="0.15"/>
    <row r="153" ht="12.75" customHeight="1" x14ac:dyDescent="0.15"/>
    <row r="154" ht="12.75" customHeight="1" x14ac:dyDescent="0.15"/>
    <row r="155" ht="12.75" customHeight="1" x14ac:dyDescent="0.15"/>
    <row r="156" ht="12.75" customHeight="1" x14ac:dyDescent="0.15"/>
    <row r="157" ht="12.75" customHeight="1" x14ac:dyDescent="0.15"/>
    <row r="158" ht="12.75" customHeight="1" x14ac:dyDescent="0.15"/>
    <row r="159" ht="12.75" customHeight="1" x14ac:dyDescent="0.15"/>
    <row r="160" ht="12.75" customHeight="1" x14ac:dyDescent="0.15"/>
    <row r="161" ht="12.75" customHeight="1" x14ac:dyDescent="0.15"/>
    <row r="162" ht="12.75" customHeight="1" x14ac:dyDescent="0.15"/>
    <row r="163" ht="12.75" customHeight="1" x14ac:dyDescent="0.15"/>
    <row r="164" ht="12.75" customHeight="1" x14ac:dyDescent="0.15"/>
    <row r="165" ht="12.75" customHeight="1" x14ac:dyDescent="0.15"/>
    <row r="166" ht="12.75" customHeight="1" x14ac:dyDescent="0.15"/>
    <row r="167" ht="12.75" customHeight="1" x14ac:dyDescent="0.15"/>
    <row r="168" ht="12.75" customHeight="1" x14ac:dyDescent="0.15"/>
    <row r="169" ht="12.75" customHeight="1" x14ac:dyDescent="0.15"/>
    <row r="170" ht="12.75" customHeight="1" x14ac:dyDescent="0.15"/>
    <row r="171" ht="12.75" customHeight="1" x14ac:dyDescent="0.15"/>
    <row r="172" ht="12.75" customHeight="1" x14ac:dyDescent="0.15"/>
    <row r="173" ht="12.75" customHeight="1" x14ac:dyDescent="0.15"/>
    <row r="174" ht="12.75" customHeight="1" x14ac:dyDescent="0.15"/>
    <row r="175" ht="12.75" customHeight="1" x14ac:dyDescent="0.15"/>
    <row r="176" ht="12.75" customHeight="1" x14ac:dyDescent="0.15"/>
    <row r="177" ht="12.75" customHeight="1" x14ac:dyDescent="0.15"/>
    <row r="178" ht="12.75" customHeight="1" x14ac:dyDescent="0.15"/>
    <row r="179" ht="12.75" customHeight="1" x14ac:dyDescent="0.15"/>
    <row r="180" ht="12.75" customHeight="1" x14ac:dyDescent="0.15"/>
    <row r="181" ht="12.75" customHeight="1" x14ac:dyDescent="0.15"/>
    <row r="182" ht="12.75" customHeight="1" x14ac:dyDescent="0.15"/>
    <row r="183" ht="12.75" customHeight="1" x14ac:dyDescent="0.15"/>
    <row r="184" ht="12.75" customHeight="1" x14ac:dyDescent="0.15"/>
    <row r="185" ht="12.75" customHeight="1" x14ac:dyDescent="0.15"/>
    <row r="186" ht="12.75" customHeight="1" x14ac:dyDescent="0.15"/>
    <row r="187" ht="12.75" customHeight="1" x14ac:dyDescent="0.15"/>
    <row r="188" ht="12.75" customHeight="1" x14ac:dyDescent="0.15"/>
    <row r="189" ht="12.75" customHeight="1" x14ac:dyDescent="0.15"/>
    <row r="190" ht="12.75" customHeight="1" x14ac:dyDescent="0.15"/>
    <row r="191" ht="12.75" customHeight="1" x14ac:dyDescent="0.15"/>
    <row r="192" ht="12.75" customHeight="1" x14ac:dyDescent="0.15"/>
    <row r="193" ht="12.75" customHeight="1" x14ac:dyDescent="0.15"/>
    <row r="194" ht="12.75" customHeight="1" x14ac:dyDescent="0.15"/>
    <row r="195" ht="12.75" customHeight="1" x14ac:dyDescent="0.15"/>
    <row r="196" ht="12.75" customHeight="1" x14ac:dyDescent="0.15"/>
    <row r="197" ht="12.75" customHeight="1" x14ac:dyDescent="0.15"/>
    <row r="198" ht="12.75" customHeight="1" x14ac:dyDescent="0.15"/>
    <row r="199" ht="12.75" customHeight="1" x14ac:dyDescent="0.15"/>
    <row r="200" ht="12.75" customHeight="1" x14ac:dyDescent="0.15"/>
    <row r="201" ht="12.75" customHeight="1" x14ac:dyDescent="0.15"/>
    <row r="202" ht="12.75" customHeight="1" x14ac:dyDescent="0.15"/>
    <row r="203" ht="12.75" customHeight="1" x14ac:dyDescent="0.15"/>
    <row r="204" ht="12.75" customHeight="1" x14ac:dyDescent="0.15"/>
    <row r="205" ht="12.75" customHeight="1" x14ac:dyDescent="0.15"/>
    <row r="206" ht="12.75" customHeight="1" x14ac:dyDescent="0.15"/>
    <row r="207" ht="12.75" customHeight="1" x14ac:dyDescent="0.15"/>
    <row r="208" ht="12.75" customHeight="1" x14ac:dyDescent="0.15"/>
    <row r="209" ht="12.75" customHeight="1" x14ac:dyDescent="0.15"/>
    <row r="210" ht="12.75" customHeight="1" x14ac:dyDescent="0.15"/>
    <row r="211" ht="12.75" customHeight="1" x14ac:dyDescent="0.15"/>
    <row r="212" ht="12.75" customHeight="1" x14ac:dyDescent="0.15"/>
    <row r="213" ht="12.75" customHeight="1" x14ac:dyDescent="0.15"/>
    <row r="214" ht="12.75" customHeight="1" x14ac:dyDescent="0.15"/>
    <row r="215" ht="12.75" customHeight="1" x14ac:dyDescent="0.15"/>
    <row r="216" ht="12.75" customHeight="1" x14ac:dyDescent="0.15"/>
    <row r="217" ht="12.75" customHeight="1" x14ac:dyDescent="0.15"/>
    <row r="218" ht="12.75" customHeight="1" x14ac:dyDescent="0.15"/>
    <row r="219" ht="12.75" customHeight="1" x14ac:dyDescent="0.15"/>
    <row r="220" ht="12.75" customHeight="1" x14ac:dyDescent="0.15"/>
    <row r="221" ht="12.75" customHeight="1" x14ac:dyDescent="0.15"/>
    <row r="222" ht="12.75" customHeight="1" x14ac:dyDescent="0.15"/>
    <row r="223" ht="12.75" customHeight="1" x14ac:dyDescent="0.15"/>
    <row r="224" ht="12.75" customHeight="1" x14ac:dyDescent="0.15"/>
    <row r="225" ht="12.75" customHeight="1" x14ac:dyDescent="0.15"/>
    <row r="226" ht="12.75" customHeight="1" x14ac:dyDescent="0.15"/>
    <row r="227" ht="12.75" customHeight="1" x14ac:dyDescent="0.15"/>
    <row r="228" ht="12.75" customHeight="1" x14ac:dyDescent="0.15"/>
    <row r="229" ht="12.75" customHeight="1" x14ac:dyDescent="0.15"/>
    <row r="230" ht="12.75" customHeight="1" x14ac:dyDescent="0.15"/>
    <row r="231" ht="12.75" customHeight="1" x14ac:dyDescent="0.15"/>
    <row r="232" ht="12.75" customHeight="1" x14ac:dyDescent="0.15"/>
    <row r="233" ht="12.75" customHeight="1" x14ac:dyDescent="0.15"/>
    <row r="234" ht="12.75" customHeight="1" x14ac:dyDescent="0.15"/>
    <row r="235" ht="12.75" customHeight="1" x14ac:dyDescent="0.15"/>
    <row r="236" ht="12.75" customHeight="1" x14ac:dyDescent="0.15"/>
    <row r="237" ht="12.75" customHeight="1" x14ac:dyDescent="0.15"/>
    <row r="238" ht="12.75" customHeight="1" x14ac:dyDescent="0.15"/>
    <row r="239" ht="12.75" customHeight="1" x14ac:dyDescent="0.15"/>
    <row r="240" ht="12.75" customHeight="1" x14ac:dyDescent="0.15"/>
    <row r="241" ht="12.75" customHeight="1" x14ac:dyDescent="0.15"/>
    <row r="242" ht="12.75" customHeight="1" x14ac:dyDescent="0.15"/>
    <row r="243" ht="12.75" customHeight="1" x14ac:dyDescent="0.15"/>
    <row r="244" ht="12.75" customHeight="1" x14ac:dyDescent="0.15"/>
    <row r="245" ht="12.75" customHeight="1" x14ac:dyDescent="0.15"/>
    <row r="246" ht="12.75" customHeight="1" x14ac:dyDescent="0.15"/>
    <row r="247" ht="12.75" customHeight="1" x14ac:dyDescent="0.15"/>
    <row r="248" ht="12.75" customHeight="1" x14ac:dyDescent="0.15"/>
    <row r="249" ht="12.75" customHeight="1" x14ac:dyDescent="0.15"/>
    <row r="250" ht="12.75" customHeight="1" x14ac:dyDescent="0.15"/>
    <row r="251" ht="12.75" customHeight="1" x14ac:dyDescent="0.15"/>
    <row r="252" ht="12.75" customHeight="1" x14ac:dyDescent="0.15"/>
    <row r="253" ht="12.75" customHeight="1" x14ac:dyDescent="0.15"/>
    <row r="254" ht="12.75" customHeight="1" x14ac:dyDescent="0.15"/>
    <row r="255" ht="12.75" customHeight="1" x14ac:dyDescent="0.15"/>
    <row r="256" ht="12.75" customHeight="1" x14ac:dyDescent="0.15"/>
    <row r="257" ht="12.75" customHeight="1" x14ac:dyDescent="0.15"/>
    <row r="258" ht="12.75" customHeight="1" x14ac:dyDescent="0.15"/>
    <row r="259" ht="12.75" customHeight="1" x14ac:dyDescent="0.15"/>
    <row r="260" ht="12.75" customHeight="1" x14ac:dyDescent="0.15"/>
    <row r="261" ht="12.75" customHeight="1" x14ac:dyDescent="0.15"/>
    <row r="262" ht="12.75" customHeight="1" x14ac:dyDescent="0.15"/>
    <row r="263" ht="12.75" customHeight="1" x14ac:dyDescent="0.15"/>
    <row r="264" ht="12.75" customHeight="1" x14ac:dyDescent="0.15"/>
    <row r="265" ht="12.75" customHeight="1" x14ac:dyDescent="0.15"/>
    <row r="266" ht="12.75" customHeight="1" x14ac:dyDescent="0.15"/>
    <row r="267" ht="12.75" customHeight="1" x14ac:dyDescent="0.15"/>
    <row r="268" ht="12.75" customHeight="1" x14ac:dyDescent="0.15"/>
    <row r="269" ht="12.75" customHeight="1" x14ac:dyDescent="0.15"/>
    <row r="270" ht="12.75" customHeight="1" x14ac:dyDescent="0.15"/>
    <row r="271" ht="12.75" customHeight="1" x14ac:dyDescent="0.15"/>
    <row r="272" ht="12.75" customHeight="1" x14ac:dyDescent="0.15"/>
    <row r="273" ht="12.75" customHeight="1" x14ac:dyDescent="0.15"/>
    <row r="274" ht="12.75" customHeight="1" x14ac:dyDescent="0.15"/>
    <row r="275" ht="12.75" customHeight="1" x14ac:dyDescent="0.15"/>
    <row r="276" ht="12.75" customHeight="1" x14ac:dyDescent="0.15"/>
    <row r="277" ht="12.75" customHeight="1" x14ac:dyDescent="0.15"/>
    <row r="278" ht="12.75" customHeight="1" x14ac:dyDescent="0.15"/>
    <row r="279" ht="12.75" customHeight="1" x14ac:dyDescent="0.15"/>
    <row r="280" ht="12.75" customHeight="1" x14ac:dyDescent="0.15"/>
    <row r="281" ht="12.75" customHeight="1" x14ac:dyDescent="0.15"/>
    <row r="282" ht="12.75" customHeight="1" x14ac:dyDescent="0.15"/>
    <row r="283" ht="12.75" customHeight="1" x14ac:dyDescent="0.15"/>
    <row r="284" ht="12.75" customHeight="1" x14ac:dyDescent="0.15"/>
    <row r="285" ht="12.75" customHeight="1" x14ac:dyDescent="0.15"/>
    <row r="286" ht="12.75" customHeight="1" x14ac:dyDescent="0.15"/>
    <row r="287" ht="12.75" customHeight="1" x14ac:dyDescent="0.15"/>
    <row r="288" ht="12.75" customHeight="1" x14ac:dyDescent="0.15"/>
    <row r="289" ht="12.75" customHeight="1" x14ac:dyDescent="0.15"/>
    <row r="290" ht="12.75" customHeight="1" x14ac:dyDescent="0.15"/>
    <row r="291" ht="12.75" customHeight="1" x14ac:dyDescent="0.15"/>
    <row r="292" ht="12.75" customHeight="1" x14ac:dyDescent="0.15"/>
    <row r="293" ht="12.75" customHeight="1" x14ac:dyDescent="0.15"/>
    <row r="294" ht="12.75" customHeight="1" x14ac:dyDescent="0.15"/>
    <row r="295" ht="12.75" customHeight="1" x14ac:dyDescent="0.15"/>
    <row r="296" ht="12.75" customHeight="1" x14ac:dyDescent="0.15"/>
    <row r="297" ht="12.75" customHeight="1" x14ac:dyDescent="0.15"/>
    <row r="298" ht="12.75" customHeight="1" x14ac:dyDescent="0.15"/>
    <row r="299" ht="12.75" customHeight="1" x14ac:dyDescent="0.15"/>
    <row r="300" ht="12.75" customHeight="1" x14ac:dyDescent="0.15"/>
    <row r="301" ht="12.75" customHeight="1" x14ac:dyDescent="0.15"/>
    <row r="302" ht="12.75" customHeight="1" x14ac:dyDescent="0.15"/>
    <row r="303" ht="12.75" customHeight="1" x14ac:dyDescent="0.15"/>
    <row r="304" ht="12.75" customHeight="1" x14ac:dyDescent="0.15"/>
    <row r="305" ht="12.75" customHeight="1" x14ac:dyDescent="0.15"/>
    <row r="306" ht="12.75" customHeight="1" x14ac:dyDescent="0.15"/>
    <row r="307" ht="12.75" customHeight="1" x14ac:dyDescent="0.15"/>
    <row r="308" ht="12.75" customHeight="1" x14ac:dyDescent="0.15"/>
    <row r="309" ht="12.75" customHeight="1" x14ac:dyDescent="0.15"/>
    <row r="310" ht="12.75" customHeight="1" x14ac:dyDescent="0.15"/>
    <row r="311" ht="12.75" customHeight="1" x14ac:dyDescent="0.15"/>
    <row r="312" ht="12.75" customHeight="1" x14ac:dyDescent="0.15"/>
    <row r="313" ht="12.75" customHeight="1" x14ac:dyDescent="0.15"/>
    <row r="314" ht="12.75" customHeight="1" x14ac:dyDescent="0.15"/>
    <row r="315" ht="12.75" customHeight="1" x14ac:dyDescent="0.15"/>
    <row r="316" ht="12.75" customHeight="1" x14ac:dyDescent="0.15"/>
    <row r="317" ht="12.75" customHeight="1" x14ac:dyDescent="0.15"/>
    <row r="318" ht="12.75" customHeight="1" x14ac:dyDescent="0.15"/>
    <row r="319" ht="12.75" customHeight="1" x14ac:dyDescent="0.15"/>
    <row r="320" ht="12.75" customHeight="1" x14ac:dyDescent="0.15"/>
    <row r="321" ht="12.75" customHeight="1" x14ac:dyDescent="0.15"/>
    <row r="322" ht="12.75" customHeight="1" x14ac:dyDescent="0.15"/>
    <row r="323" ht="12.75" customHeight="1" x14ac:dyDescent="0.15"/>
    <row r="324" ht="12.75" customHeight="1" x14ac:dyDescent="0.15"/>
    <row r="325" ht="12.75" customHeight="1" x14ac:dyDescent="0.15"/>
    <row r="326" ht="12.75" customHeight="1" x14ac:dyDescent="0.15"/>
    <row r="327" ht="12.75" customHeight="1" x14ac:dyDescent="0.15"/>
    <row r="328" ht="12.75" customHeight="1" x14ac:dyDescent="0.15"/>
    <row r="329" ht="12.75" customHeight="1" x14ac:dyDescent="0.15"/>
    <row r="330" ht="12.75" customHeight="1" x14ac:dyDescent="0.15"/>
    <row r="331" ht="12.75" customHeight="1" x14ac:dyDescent="0.15"/>
    <row r="332" ht="12.75" customHeight="1" x14ac:dyDescent="0.15"/>
    <row r="333" ht="12.75" customHeight="1" x14ac:dyDescent="0.15"/>
    <row r="334" ht="12.75" customHeight="1" x14ac:dyDescent="0.15"/>
    <row r="335" ht="12.75" customHeight="1" x14ac:dyDescent="0.15"/>
    <row r="336" ht="12.75" customHeight="1" x14ac:dyDescent="0.15"/>
    <row r="337" ht="12.75" customHeight="1" x14ac:dyDescent="0.15"/>
    <row r="338" ht="12.75" customHeight="1" x14ac:dyDescent="0.15"/>
    <row r="339" ht="12.75" customHeight="1" x14ac:dyDescent="0.15"/>
    <row r="340" ht="12.75" customHeight="1" x14ac:dyDescent="0.15"/>
    <row r="341" ht="12.75" customHeight="1" x14ac:dyDescent="0.15"/>
    <row r="342" ht="12.75" customHeight="1" x14ac:dyDescent="0.15"/>
    <row r="343" ht="12.75" customHeight="1" x14ac:dyDescent="0.15"/>
    <row r="344" ht="12.75" customHeight="1" x14ac:dyDescent="0.15"/>
    <row r="345" ht="12.75" customHeight="1" x14ac:dyDescent="0.15"/>
    <row r="346" ht="12.75" customHeight="1" x14ac:dyDescent="0.15"/>
    <row r="347" ht="12.75" customHeight="1" x14ac:dyDescent="0.15"/>
    <row r="348" ht="12.75" customHeight="1" x14ac:dyDescent="0.15"/>
    <row r="349" ht="12.75" customHeight="1" x14ac:dyDescent="0.15"/>
    <row r="350" ht="12.75" customHeight="1" x14ac:dyDescent="0.15"/>
    <row r="351" ht="12.75" customHeight="1" x14ac:dyDescent="0.15"/>
    <row r="352" ht="12.75" customHeight="1" x14ac:dyDescent="0.15"/>
    <row r="353" ht="12.75" customHeight="1" x14ac:dyDescent="0.15"/>
    <row r="354" ht="12.75" customHeight="1" x14ac:dyDescent="0.15"/>
    <row r="355" ht="12.75" customHeight="1" x14ac:dyDescent="0.15"/>
    <row r="356" ht="12.75" customHeight="1" x14ac:dyDescent="0.15"/>
    <row r="357" ht="12.75" customHeight="1" x14ac:dyDescent="0.15"/>
    <row r="358" ht="12.75" customHeight="1" x14ac:dyDescent="0.15"/>
    <row r="359" ht="12.75" customHeight="1" x14ac:dyDescent="0.15"/>
    <row r="360" ht="12.75" customHeight="1" x14ac:dyDescent="0.15"/>
    <row r="361" ht="12.75" customHeight="1" x14ac:dyDescent="0.15"/>
    <row r="362" ht="12.75" customHeight="1" x14ac:dyDescent="0.15"/>
    <row r="363" ht="12.75" customHeight="1" x14ac:dyDescent="0.15"/>
    <row r="364" ht="12.75" customHeight="1" x14ac:dyDescent="0.15"/>
    <row r="365" ht="12.75" customHeight="1" x14ac:dyDescent="0.15"/>
    <row r="366" ht="12.75" customHeight="1" x14ac:dyDescent="0.15"/>
    <row r="367" ht="12.75" customHeight="1" x14ac:dyDescent="0.15"/>
    <row r="368" ht="12.75" customHeight="1" x14ac:dyDescent="0.15"/>
    <row r="369" ht="12.75" customHeight="1" x14ac:dyDescent="0.15"/>
    <row r="370" ht="12.75" customHeight="1" x14ac:dyDescent="0.15"/>
    <row r="371" ht="12.75" customHeight="1" x14ac:dyDescent="0.15"/>
    <row r="372" ht="12.75" customHeight="1" x14ac:dyDescent="0.15"/>
    <row r="373" ht="12.75" customHeight="1" x14ac:dyDescent="0.15"/>
    <row r="374" ht="12.75" customHeight="1" x14ac:dyDescent="0.15"/>
    <row r="375" ht="12.75" customHeight="1" x14ac:dyDescent="0.15"/>
    <row r="376" ht="12.75" customHeight="1" x14ac:dyDescent="0.15"/>
    <row r="377" ht="12.75" customHeight="1" x14ac:dyDescent="0.15"/>
    <row r="378" ht="12.75" customHeight="1" x14ac:dyDescent="0.15"/>
    <row r="379" ht="12.75" customHeight="1" x14ac:dyDescent="0.15"/>
    <row r="380" ht="12.75" customHeight="1" x14ac:dyDescent="0.15"/>
    <row r="381" ht="12.75" customHeight="1" x14ac:dyDescent="0.15"/>
    <row r="382" ht="12.75" customHeight="1" x14ac:dyDescent="0.15"/>
    <row r="383" ht="12.75" customHeight="1" x14ac:dyDescent="0.15"/>
    <row r="384" ht="12.75" customHeight="1" x14ac:dyDescent="0.15"/>
    <row r="385" ht="12.75" customHeight="1" x14ac:dyDescent="0.15"/>
    <row r="386" ht="12.75" customHeight="1" x14ac:dyDescent="0.15"/>
    <row r="387" ht="12.75" customHeight="1" x14ac:dyDescent="0.15"/>
    <row r="388" ht="12.75" customHeight="1" x14ac:dyDescent="0.15"/>
    <row r="389" ht="12.75" customHeight="1" x14ac:dyDescent="0.15"/>
    <row r="390" ht="12.75" customHeight="1" x14ac:dyDescent="0.15"/>
    <row r="391" ht="12.75" customHeight="1" x14ac:dyDescent="0.15"/>
    <row r="392" ht="12.75" customHeight="1" x14ac:dyDescent="0.15"/>
    <row r="393" ht="12.75" customHeight="1" x14ac:dyDescent="0.15"/>
    <row r="394" ht="12.75" customHeight="1" x14ac:dyDescent="0.15"/>
    <row r="395" ht="12.75" customHeight="1" x14ac:dyDescent="0.15"/>
    <row r="396" ht="12.75" customHeight="1" x14ac:dyDescent="0.15"/>
    <row r="397" ht="12.75" customHeight="1" x14ac:dyDescent="0.15"/>
    <row r="398" ht="12.75" customHeight="1" x14ac:dyDescent="0.15"/>
    <row r="399" ht="12.75" customHeight="1" x14ac:dyDescent="0.15"/>
    <row r="400" ht="12.75" customHeight="1" x14ac:dyDescent="0.15"/>
    <row r="401" ht="12.75" customHeight="1" x14ac:dyDescent="0.15"/>
    <row r="402" ht="12.75" customHeight="1" x14ac:dyDescent="0.15"/>
    <row r="403" ht="12.75" customHeight="1" x14ac:dyDescent="0.15"/>
    <row r="404" ht="12.75" customHeight="1" x14ac:dyDescent="0.15"/>
    <row r="405" ht="12.75" customHeight="1" x14ac:dyDescent="0.15"/>
    <row r="406" ht="12.75" customHeight="1" x14ac:dyDescent="0.15"/>
    <row r="407" ht="12.75" customHeight="1" x14ac:dyDescent="0.15"/>
    <row r="408" ht="12.75" customHeight="1" x14ac:dyDescent="0.15"/>
    <row r="409" ht="12.75" customHeight="1" x14ac:dyDescent="0.15"/>
    <row r="410" ht="12.75" customHeight="1" x14ac:dyDescent="0.15"/>
    <row r="411" ht="12.75" customHeight="1" x14ac:dyDescent="0.15"/>
    <row r="412" ht="12.75" customHeight="1" x14ac:dyDescent="0.15"/>
    <row r="413" ht="12.75" customHeight="1" x14ac:dyDescent="0.15"/>
    <row r="414" ht="12.75" customHeight="1" x14ac:dyDescent="0.15"/>
    <row r="415" ht="12.75" customHeight="1" x14ac:dyDescent="0.15"/>
    <row r="416" ht="12.75" customHeight="1" x14ac:dyDescent="0.15"/>
    <row r="417" ht="12.75" customHeight="1" x14ac:dyDescent="0.15"/>
    <row r="418" ht="12.75" customHeight="1" x14ac:dyDescent="0.15"/>
    <row r="419" ht="12.75" customHeight="1" x14ac:dyDescent="0.15"/>
    <row r="420" ht="12.75" customHeight="1" x14ac:dyDescent="0.15"/>
    <row r="421" ht="12.75" customHeight="1" x14ac:dyDescent="0.15"/>
    <row r="422" ht="12.75" customHeight="1" x14ac:dyDescent="0.15"/>
    <row r="423" ht="12.75" customHeight="1" x14ac:dyDescent="0.15"/>
    <row r="424" ht="12.75" customHeight="1" x14ac:dyDescent="0.15"/>
    <row r="425" ht="12.75" customHeight="1" x14ac:dyDescent="0.15"/>
    <row r="426" ht="12.75" customHeight="1" x14ac:dyDescent="0.15"/>
    <row r="427" ht="12.75" customHeight="1" x14ac:dyDescent="0.15"/>
    <row r="428" ht="12.75" customHeight="1" x14ac:dyDescent="0.15"/>
    <row r="429" ht="12.75" customHeight="1" x14ac:dyDescent="0.15"/>
    <row r="430" ht="12.75" customHeight="1" x14ac:dyDescent="0.15"/>
    <row r="431" ht="12.75" customHeight="1" x14ac:dyDescent="0.15"/>
    <row r="432" ht="12.75" customHeight="1" x14ac:dyDescent="0.15"/>
    <row r="433" ht="12.75" customHeight="1" x14ac:dyDescent="0.15"/>
    <row r="434" ht="12.75" customHeight="1" x14ac:dyDescent="0.15"/>
    <row r="435" ht="12.75" customHeight="1" x14ac:dyDescent="0.15"/>
    <row r="436" ht="12.75" customHeight="1" x14ac:dyDescent="0.15"/>
    <row r="437" ht="12.75" customHeight="1" x14ac:dyDescent="0.15"/>
    <row r="438" ht="12.75" customHeight="1" x14ac:dyDescent="0.15"/>
    <row r="439" ht="12.75" customHeight="1" x14ac:dyDescent="0.15"/>
    <row r="440" ht="12.75" customHeight="1" x14ac:dyDescent="0.15"/>
    <row r="441" ht="12.75" customHeight="1" x14ac:dyDescent="0.15"/>
    <row r="442" ht="12.75" customHeight="1" x14ac:dyDescent="0.15"/>
    <row r="443" ht="12.75" customHeight="1" x14ac:dyDescent="0.15"/>
    <row r="444" ht="12.75" customHeight="1" x14ac:dyDescent="0.15"/>
    <row r="445" ht="12.75" customHeight="1" x14ac:dyDescent="0.15"/>
    <row r="446" ht="12.75" customHeight="1" x14ac:dyDescent="0.15"/>
    <row r="447" ht="12.75" customHeight="1" x14ac:dyDescent="0.15"/>
    <row r="448" ht="12.75" customHeight="1" x14ac:dyDescent="0.15"/>
    <row r="449" ht="12.75" customHeight="1" x14ac:dyDescent="0.15"/>
    <row r="450" ht="12.75" customHeight="1" x14ac:dyDescent="0.15"/>
    <row r="451" ht="12.75" customHeight="1" x14ac:dyDescent="0.15"/>
    <row r="452" ht="12.75" customHeight="1" x14ac:dyDescent="0.15"/>
    <row r="453" ht="12.75" customHeight="1" x14ac:dyDescent="0.15"/>
    <row r="454" ht="12.75" customHeight="1" x14ac:dyDescent="0.15"/>
    <row r="455" ht="12.75" customHeight="1" x14ac:dyDescent="0.15"/>
    <row r="456" ht="12.75" customHeight="1" x14ac:dyDescent="0.15"/>
    <row r="457" ht="12.75" customHeight="1" x14ac:dyDescent="0.15"/>
    <row r="458" ht="12.75" customHeight="1" x14ac:dyDescent="0.15"/>
    <row r="459" ht="12.75" customHeight="1" x14ac:dyDescent="0.15"/>
    <row r="460" ht="12.75" customHeight="1" x14ac:dyDescent="0.15"/>
    <row r="461" ht="12.75" customHeight="1" x14ac:dyDescent="0.15"/>
    <row r="462" ht="12.75" customHeight="1" x14ac:dyDescent="0.15"/>
    <row r="463" ht="12.75" customHeight="1" x14ac:dyDescent="0.15"/>
    <row r="464" ht="12.75" customHeight="1" x14ac:dyDescent="0.15"/>
    <row r="465" ht="12.75" customHeight="1" x14ac:dyDescent="0.15"/>
    <row r="466" ht="12.75" customHeight="1" x14ac:dyDescent="0.15"/>
    <row r="467" ht="12.75" customHeight="1" x14ac:dyDescent="0.15"/>
    <row r="468" ht="12.75" customHeight="1" x14ac:dyDescent="0.15"/>
    <row r="469" ht="12.75" customHeight="1" x14ac:dyDescent="0.15"/>
    <row r="470" ht="12.75" customHeight="1" x14ac:dyDescent="0.15"/>
    <row r="471" ht="12.75" customHeight="1" x14ac:dyDescent="0.15"/>
    <row r="472" ht="12.75" customHeight="1" x14ac:dyDescent="0.15"/>
    <row r="473" ht="12.75" customHeight="1" x14ac:dyDescent="0.15"/>
    <row r="474" ht="12.75" customHeight="1" x14ac:dyDescent="0.15"/>
    <row r="475" ht="12.75" customHeight="1" x14ac:dyDescent="0.15"/>
    <row r="476" ht="12.75" customHeight="1" x14ac:dyDescent="0.15"/>
    <row r="477" ht="12.75" customHeight="1" x14ac:dyDescent="0.15"/>
    <row r="478" ht="12.75" customHeight="1" x14ac:dyDescent="0.15"/>
    <row r="479" ht="12.75" customHeight="1" x14ac:dyDescent="0.15"/>
    <row r="480" ht="12.75" customHeight="1" x14ac:dyDescent="0.15"/>
    <row r="481" ht="12.75" customHeight="1" x14ac:dyDescent="0.15"/>
    <row r="482" ht="12.75" customHeight="1" x14ac:dyDescent="0.15"/>
    <row r="483" ht="12.75" customHeight="1" x14ac:dyDescent="0.15"/>
    <row r="484" ht="12.75" customHeight="1" x14ac:dyDescent="0.15"/>
    <row r="485" ht="12.75" customHeight="1" x14ac:dyDescent="0.15"/>
    <row r="486" ht="12.75" customHeight="1" x14ac:dyDescent="0.15"/>
    <row r="487" ht="12.75" customHeight="1" x14ac:dyDescent="0.15"/>
    <row r="488" ht="12.75" customHeight="1" x14ac:dyDescent="0.15"/>
    <row r="489" ht="12.75" customHeight="1" x14ac:dyDescent="0.15"/>
    <row r="490" ht="12.75" customHeight="1" x14ac:dyDescent="0.15"/>
    <row r="491" ht="12.75" customHeight="1" x14ac:dyDescent="0.15"/>
    <row r="492" ht="12.75" customHeight="1" x14ac:dyDescent="0.15"/>
    <row r="493" ht="12.75" customHeight="1" x14ac:dyDescent="0.15"/>
    <row r="494" ht="12.75" customHeight="1" x14ac:dyDescent="0.15"/>
    <row r="495" ht="12.75" customHeight="1" x14ac:dyDescent="0.15"/>
    <row r="496" ht="12.75" customHeight="1" x14ac:dyDescent="0.15"/>
    <row r="497" ht="12.75" customHeight="1" x14ac:dyDescent="0.15"/>
    <row r="498" ht="12.75" customHeight="1" x14ac:dyDescent="0.15"/>
    <row r="499" ht="12.75" customHeight="1" x14ac:dyDescent="0.15"/>
    <row r="500" ht="12.75" customHeight="1" x14ac:dyDescent="0.15"/>
    <row r="501" ht="12.75" customHeight="1" x14ac:dyDescent="0.15"/>
    <row r="502" ht="12.75" customHeight="1" x14ac:dyDescent="0.15"/>
    <row r="503" ht="12.75" customHeight="1" x14ac:dyDescent="0.15"/>
    <row r="504" ht="12.75" customHeight="1" x14ac:dyDescent="0.15"/>
    <row r="505" ht="12.75" customHeight="1" x14ac:dyDescent="0.15"/>
    <row r="506" ht="12.75" customHeight="1" x14ac:dyDescent="0.15"/>
    <row r="507" ht="12.75" customHeight="1" x14ac:dyDescent="0.15"/>
    <row r="508" ht="12.75" customHeight="1" x14ac:dyDescent="0.15"/>
    <row r="509" ht="12.75" customHeight="1" x14ac:dyDescent="0.15"/>
    <row r="510" ht="12.75" customHeight="1" x14ac:dyDescent="0.15"/>
    <row r="511" ht="12.75" customHeight="1" x14ac:dyDescent="0.15"/>
    <row r="512" ht="12.75" customHeight="1" x14ac:dyDescent="0.15"/>
    <row r="513" ht="12.75" customHeight="1" x14ac:dyDescent="0.15"/>
    <row r="514" ht="12.75" customHeight="1" x14ac:dyDescent="0.15"/>
    <row r="515" ht="12.75" customHeight="1" x14ac:dyDescent="0.15"/>
    <row r="516" ht="12.75" customHeight="1" x14ac:dyDescent="0.15"/>
    <row r="517" ht="12.75" customHeight="1" x14ac:dyDescent="0.15"/>
    <row r="518" ht="12.75" customHeight="1" x14ac:dyDescent="0.15"/>
    <row r="519" ht="12.75" customHeight="1" x14ac:dyDescent="0.15"/>
    <row r="520" ht="12.75" customHeight="1" x14ac:dyDescent="0.15"/>
    <row r="521" ht="12.75" customHeight="1" x14ac:dyDescent="0.15"/>
    <row r="522" ht="12.75" customHeight="1" x14ac:dyDescent="0.15"/>
    <row r="523" ht="12.75" customHeight="1" x14ac:dyDescent="0.15"/>
    <row r="524" ht="12.75" customHeight="1" x14ac:dyDescent="0.15"/>
    <row r="525" ht="12.75" customHeight="1" x14ac:dyDescent="0.15"/>
    <row r="526" ht="12.75" customHeight="1" x14ac:dyDescent="0.15"/>
    <row r="527" ht="12.75" customHeight="1" x14ac:dyDescent="0.15"/>
    <row r="528" ht="12.75" customHeight="1" x14ac:dyDescent="0.15"/>
    <row r="529" ht="12.75" customHeight="1" x14ac:dyDescent="0.15"/>
    <row r="530" ht="12.75" customHeight="1" x14ac:dyDescent="0.15"/>
    <row r="531" ht="12.75" customHeight="1" x14ac:dyDescent="0.15"/>
    <row r="532" ht="12.75" customHeight="1" x14ac:dyDescent="0.15"/>
    <row r="533" ht="12.75" customHeight="1" x14ac:dyDescent="0.15"/>
    <row r="534" ht="12.75" customHeight="1" x14ac:dyDescent="0.15"/>
    <row r="535" ht="12.75" customHeight="1" x14ac:dyDescent="0.15"/>
    <row r="536" ht="12.75" customHeight="1" x14ac:dyDescent="0.15"/>
    <row r="537" ht="12.75" customHeight="1" x14ac:dyDescent="0.15"/>
    <row r="538" ht="12.75" customHeight="1" x14ac:dyDescent="0.15"/>
    <row r="539" ht="12.75" customHeight="1" x14ac:dyDescent="0.15"/>
    <row r="540" ht="12.75" customHeight="1" x14ac:dyDescent="0.15"/>
    <row r="541" ht="12.75" customHeight="1" x14ac:dyDescent="0.15"/>
    <row r="542" ht="12.75" customHeight="1" x14ac:dyDescent="0.15"/>
    <row r="543" ht="12.75" customHeight="1" x14ac:dyDescent="0.15"/>
    <row r="544" ht="12.75" customHeight="1" x14ac:dyDescent="0.15"/>
    <row r="545" ht="12.75" customHeight="1" x14ac:dyDescent="0.15"/>
    <row r="546" ht="12.75" customHeight="1" x14ac:dyDescent="0.15"/>
    <row r="547" ht="12.75" customHeight="1" x14ac:dyDescent="0.15"/>
    <row r="548" ht="12.75" customHeight="1" x14ac:dyDescent="0.15"/>
    <row r="549" ht="12.75" customHeight="1" x14ac:dyDescent="0.15"/>
    <row r="550" ht="12.75" customHeight="1" x14ac:dyDescent="0.15"/>
    <row r="551" ht="12.75" customHeight="1" x14ac:dyDescent="0.15"/>
    <row r="552" ht="12.75" customHeight="1" x14ac:dyDescent="0.15"/>
    <row r="553" ht="12.75" customHeight="1" x14ac:dyDescent="0.15"/>
    <row r="554" ht="12.75" customHeight="1" x14ac:dyDescent="0.15"/>
    <row r="555" ht="12.75" customHeight="1" x14ac:dyDescent="0.15"/>
    <row r="556" ht="12.75" customHeight="1" x14ac:dyDescent="0.15"/>
    <row r="557" ht="12.75" customHeight="1" x14ac:dyDescent="0.15"/>
    <row r="558" ht="12.75" customHeight="1" x14ac:dyDescent="0.15"/>
    <row r="559" ht="12.75" customHeight="1" x14ac:dyDescent="0.15"/>
    <row r="560" ht="12.75" customHeight="1" x14ac:dyDescent="0.15"/>
    <row r="561" ht="12.75" customHeight="1" x14ac:dyDescent="0.15"/>
    <row r="562" ht="12.75" customHeight="1" x14ac:dyDescent="0.15"/>
    <row r="563" ht="12.75" customHeight="1" x14ac:dyDescent="0.15"/>
    <row r="564" ht="12.75" customHeight="1" x14ac:dyDescent="0.15"/>
    <row r="565" ht="12.75" customHeight="1" x14ac:dyDescent="0.15"/>
    <row r="566" ht="12.75" customHeight="1" x14ac:dyDescent="0.15"/>
    <row r="567" ht="12.75" customHeight="1" x14ac:dyDescent="0.15"/>
    <row r="568" ht="12.75" customHeight="1" x14ac:dyDescent="0.15"/>
    <row r="569" ht="12.75" customHeight="1" x14ac:dyDescent="0.15"/>
    <row r="570" ht="12.75" customHeight="1" x14ac:dyDescent="0.15"/>
    <row r="571" ht="12.75" customHeight="1" x14ac:dyDescent="0.15"/>
    <row r="572" ht="12.75" customHeight="1" x14ac:dyDescent="0.15"/>
    <row r="573" ht="12.75" customHeight="1" x14ac:dyDescent="0.15"/>
    <row r="574" ht="12.75" customHeight="1" x14ac:dyDescent="0.15"/>
    <row r="575" ht="12.75" customHeight="1" x14ac:dyDescent="0.15"/>
    <row r="576" ht="12.75" customHeight="1" x14ac:dyDescent="0.15"/>
    <row r="577" ht="12.75" customHeight="1" x14ac:dyDescent="0.15"/>
    <row r="578" ht="12.75" customHeight="1" x14ac:dyDescent="0.15"/>
    <row r="579" ht="12.75" customHeight="1" x14ac:dyDescent="0.15"/>
    <row r="580" ht="12.75" customHeight="1" x14ac:dyDescent="0.15"/>
    <row r="581" ht="12.75" customHeight="1" x14ac:dyDescent="0.15"/>
    <row r="582" ht="12.75" customHeight="1" x14ac:dyDescent="0.15"/>
    <row r="583" ht="12.75" customHeight="1" x14ac:dyDescent="0.15"/>
    <row r="584" ht="12.75" customHeight="1" x14ac:dyDescent="0.15"/>
    <row r="585" ht="12.75" customHeight="1" x14ac:dyDescent="0.15"/>
    <row r="586" ht="12.75" customHeight="1" x14ac:dyDescent="0.15"/>
    <row r="587" ht="12.75" customHeight="1" x14ac:dyDescent="0.15"/>
    <row r="588" ht="12.75" customHeight="1" x14ac:dyDescent="0.15"/>
    <row r="589" ht="12.75" customHeight="1" x14ac:dyDescent="0.15"/>
    <row r="590" ht="12.75" customHeight="1" x14ac:dyDescent="0.15"/>
    <row r="591" ht="12.75" customHeight="1" x14ac:dyDescent="0.15"/>
    <row r="592" ht="12.75" customHeight="1" x14ac:dyDescent="0.15"/>
    <row r="593" ht="12.75" customHeight="1" x14ac:dyDescent="0.15"/>
    <row r="594" ht="12.75" customHeight="1" x14ac:dyDescent="0.15"/>
    <row r="595" ht="12.75" customHeight="1" x14ac:dyDescent="0.15"/>
    <row r="596" ht="12.75" customHeight="1" x14ac:dyDescent="0.15"/>
    <row r="597" ht="12.75" customHeight="1" x14ac:dyDescent="0.15"/>
    <row r="598" ht="12.75" customHeight="1" x14ac:dyDescent="0.15"/>
    <row r="599" ht="12.75" customHeight="1" x14ac:dyDescent="0.15"/>
    <row r="600" ht="12.75" customHeight="1" x14ac:dyDescent="0.15"/>
    <row r="601" ht="12.75" customHeight="1" x14ac:dyDescent="0.15"/>
    <row r="602" ht="12.75" customHeight="1" x14ac:dyDescent="0.15"/>
    <row r="603" ht="12.75" customHeight="1" x14ac:dyDescent="0.15"/>
    <row r="604" ht="12.75" customHeight="1" x14ac:dyDescent="0.15"/>
    <row r="605" ht="12.75" customHeight="1" x14ac:dyDescent="0.15"/>
    <row r="606" ht="12.75" customHeight="1" x14ac:dyDescent="0.15"/>
    <row r="607" ht="12.75" customHeight="1" x14ac:dyDescent="0.15"/>
    <row r="608" ht="12.75" customHeight="1" x14ac:dyDescent="0.15"/>
    <row r="609" ht="12.75" customHeight="1" x14ac:dyDescent="0.15"/>
    <row r="610" ht="12.75" customHeight="1" x14ac:dyDescent="0.15"/>
    <row r="611" ht="12.75" customHeight="1" x14ac:dyDescent="0.15"/>
    <row r="612" ht="12.75" customHeight="1" x14ac:dyDescent="0.15"/>
    <row r="613" ht="12.75" customHeight="1" x14ac:dyDescent="0.15"/>
    <row r="614" ht="12.75" customHeight="1" x14ac:dyDescent="0.15"/>
    <row r="615" ht="12.75" customHeight="1" x14ac:dyDescent="0.15"/>
    <row r="616" ht="12.75" customHeight="1" x14ac:dyDescent="0.15"/>
    <row r="617" ht="12.75" customHeight="1" x14ac:dyDescent="0.15"/>
    <row r="618" ht="12.75" customHeight="1" x14ac:dyDescent="0.15"/>
    <row r="619" ht="12.75" customHeight="1" x14ac:dyDescent="0.15"/>
    <row r="620" ht="12.75" customHeight="1" x14ac:dyDescent="0.15"/>
    <row r="621" ht="12.75" customHeight="1" x14ac:dyDescent="0.15"/>
    <row r="622" ht="12.75" customHeight="1" x14ac:dyDescent="0.15"/>
    <row r="623" ht="12.75" customHeight="1" x14ac:dyDescent="0.15"/>
    <row r="624" ht="12.75" customHeight="1" x14ac:dyDescent="0.15"/>
    <row r="625" ht="12.75" customHeight="1" x14ac:dyDescent="0.15"/>
    <row r="626" ht="12.75" customHeight="1" x14ac:dyDescent="0.15"/>
    <row r="627" ht="12.75" customHeight="1" x14ac:dyDescent="0.15"/>
    <row r="628" ht="12.75" customHeight="1" x14ac:dyDescent="0.15"/>
    <row r="629" ht="12.75" customHeight="1" x14ac:dyDescent="0.15"/>
    <row r="630" ht="12.75" customHeight="1" x14ac:dyDescent="0.15"/>
    <row r="631" ht="12.75" customHeight="1" x14ac:dyDescent="0.15"/>
    <row r="632" ht="12.75" customHeight="1" x14ac:dyDescent="0.15"/>
    <row r="633" ht="12.75" customHeight="1" x14ac:dyDescent="0.15"/>
    <row r="634" ht="12.75" customHeight="1" x14ac:dyDescent="0.15"/>
    <row r="635" ht="12.75" customHeight="1" x14ac:dyDescent="0.15"/>
    <row r="636" ht="12.75" customHeight="1" x14ac:dyDescent="0.15"/>
    <row r="637" ht="12.75" customHeight="1" x14ac:dyDescent="0.15"/>
    <row r="638" ht="12.75" customHeight="1" x14ac:dyDescent="0.15"/>
    <row r="639" ht="12.75" customHeight="1" x14ac:dyDescent="0.15"/>
    <row r="640" ht="12.75" customHeight="1" x14ac:dyDescent="0.15"/>
    <row r="641" ht="12.75" customHeight="1" x14ac:dyDescent="0.15"/>
    <row r="642" ht="12.75" customHeight="1" x14ac:dyDescent="0.15"/>
    <row r="643" ht="12.75" customHeight="1" x14ac:dyDescent="0.15"/>
    <row r="644" ht="12.75" customHeight="1" x14ac:dyDescent="0.15"/>
    <row r="645" ht="12.75" customHeight="1" x14ac:dyDescent="0.15"/>
    <row r="646" ht="12.75" customHeight="1" x14ac:dyDescent="0.15"/>
    <row r="647" ht="12.75" customHeight="1" x14ac:dyDescent="0.15"/>
    <row r="648" ht="12.75" customHeight="1" x14ac:dyDescent="0.15"/>
    <row r="649" ht="12.75" customHeight="1" x14ac:dyDescent="0.15"/>
    <row r="650" ht="12.75" customHeight="1" x14ac:dyDescent="0.15"/>
    <row r="651" ht="12.75" customHeight="1" x14ac:dyDescent="0.15"/>
    <row r="652" ht="12.75" customHeight="1" x14ac:dyDescent="0.15"/>
    <row r="653" ht="12.75" customHeight="1" x14ac:dyDescent="0.15"/>
    <row r="654" ht="12.75" customHeight="1" x14ac:dyDescent="0.15"/>
    <row r="655" ht="12.75" customHeight="1" x14ac:dyDescent="0.15"/>
    <row r="656" ht="12.75" customHeight="1" x14ac:dyDescent="0.15"/>
    <row r="657" ht="12.75" customHeight="1" x14ac:dyDescent="0.15"/>
    <row r="658" ht="12.75" customHeight="1" x14ac:dyDescent="0.15"/>
    <row r="659" ht="12.75" customHeight="1" x14ac:dyDescent="0.15"/>
    <row r="660" ht="12.75" customHeight="1" x14ac:dyDescent="0.15"/>
    <row r="661" ht="12.75" customHeight="1" x14ac:dyDescent="0.15"/>
    <row r="662" ht="12.75" customHeight="1" x14ac:dyDescent="0.15"/>
    <row r="663" ht="12.75" customHeight="1" x14ac:dyDescent="0.15"/>
    <row r="664" ht="12.75" customHeight="1" x14ac:dyDescent="0.15"/>
    <row r="665" ht="12.75" customHeight="1" x14ac:dyDescent="0.15"/>
    <row r="666" ht="12.75" customHeight="1" x14ac:dyDescent="0.15"/>
    <row r="667" ht="12.75" customHeight="1" x14ac:dyDescent="0.15"/>
    <row r="668" ht="12.75" customHeight="1" x14ac:dyDescent="0.15"/>
    <row r="669" ht="12.75" customHeight="1" x14ac:dyDescent="0.15"/>
    <row r="670" ht="12.75" customHeight="1" x14ac:dyDescent="0.15"/>
    <row r="671" ht="12.75" customHeight="1" x14ac:dyDescent="0.15"/>
    <row r="672" ht="12.75" customHeight="1" x14ac:dyDescent="0.15"/>
    <row r="673" ht="12.75" customHeight="1" x14ac:dyDescent="0.15"/>
    <row r="674" ht="12.75" customHeight="1" x14ac:dyDescent="0.15"/>
    <row r="675" ht="12.75" customHeight="1" x14ac:dyDescent="0.15"/>
    <row r="676" ht="12.75" customHeight="1" x14ac:dyDescent="0.15"/>
    <row r="677" ht="12.75" customHeight="1" x14ac:dyDescent="0.15"/>
    <row r="678" ht="12.75" customHeight="1" x14ac:dyDescent="0.15"/>
    <row r="679" ht="12.75" customHeight="1" x14ac:dyDescent="0.15"/>
    <row r="680" ht="12.75" customHeight="1" x14ac:dyDescent="0.15"/>
    <row r="681" ht="12.75" customHeight="1" x14ac:dyDescent="0.15"/>
    <row r="682" ht="12.75" customHeight="1" x14ac:dyDescent="0.15"/>
    <row r="683" ht="12.75" customHeight="1" x14ac:dyDescent="0.15"/>
    <row r="684" ht="12.75" customHeight="1" x14ac:dyDescent="0.15"/>
    <row r="685" ht="12.75" customHeight="1" x14ac:dyDescent="0.15"/>
    <row r="686" ht="12.75" customHeight="1" x14ac:dyDescent="0.15"/>
    <row r="687" ht="12.75" customHeight="1" x14ac:dyDescent="0.15"/>
    <row r="688" ht="12.75" customHeight="1" x14ac:dyDescent="0.15"/>
    <row r="689" ht="12.75" customHeight="1" x14ac:dyDescent="0.15"/>
    <row r="690" ht="12.75" customHeight="1" x14ac:dyDescent="0.15"/>
    <row r="691" ht="12.75" customHeight="1" x14ac:dyDescent="0.15"/>
    <row r="692" ht="12.75" customHeight="1" x14ac:dyDescent="0.15"/>
    <row r="693" ht="12.75" customHeight="1" x14ac:dyDescent="0.15"/>
    <row r="694" ht="12.75" customHeight="1" x14ac:dyDescent="0.15"/>
    <row r="695" ht="12.75" customHeight="1" x14ac:dyDescent="0.15"/>
    <row r="696" ht="12.75" customHeight="1" x14ac:dyDescent="0.15"/>
    <row r="697" ht="12.75" customHeight="1" x14ac:dyDescent="0.15"/>
    <row r="698" ht="12.75" customHeight="1" x14ac:dyDescent="0.15"/>
    <row r="699" ht="12.75" customHeight="1" x14ac:dyDescent="0.15"/>
    <row r="700" ht="12.75" customHeight="1" x14ac:dyDescent="0.15"/>
    <row r="701" ht="12.75" customHeight="1" x14ac:dyDescent="0.15"/>
    <row r="702" ht="12.75" customHeight="1" x14ac:dyDescent="0.15"/>
    <row r="703" ht="12.75" customHeight="1" x14ac:dyDescent="0.15"/>
    <row r="704" ht="12.75" customHeight="1" x14ac:dyDescent="0.15"/>
    <row r="705" ht="12.75" customHeight="1" x14ac:dyDescent="0.15"/>
    <row r="706" ht="12.75" customHeight="1" x14ac:dyDescent="0.15"/>
    <row r="707" ht="12.75" customHeight="1" x14ac:dyDescent="0.15"/>
    <row r="708" ht="12.75" customHeight="1" x14ac:dyDescent="0.15"/>
    <row r="709" ht="12.75" customHeight="1" x14ac:dyDescent="0.15"/>
    <row r="710" ht="12.75" customHeight="1" x14ac:dyDescent="0.15"/>
    <row r="711" ht="12.75" customHeight="1" x14ac:dyDescent="0.15"/>
    <row r="712" ht="12.75" customHeight="1" x14ac:dyDescent="0.15"/>
    <row r="713" ht="12.75" customHeight="1" x14ac:dyDescent="0.15"/>
    <row r="714" ht="12.75" customHeight="1" x14ac:dyDescent="0.15"/>
    <row r="715" ht="12.75" customHeight="1" x14ac:dyDescent="0.15"/>
    <row r="716" ht="12.75" customHeight="1" x14ac:dyDescent="0.15"/>
    <row r="717" ht="12.75" customHeight="1" x14ac:dyDescent="0.15"/>
    <row r="718" ht="12.75" customHeight="1" x14ac:dyDescent="0.15"/>
    <row r="719" ht="12.75" customHeight="1" x14ac:dyDescent="0.15"/>
    <row r="720" ht="12.75" customHeight="1" x14ac:dyDescent="0.15"/>
    <row r="721" ht="12.75" customHeight="1" x14ac:dyDescent="0.15"/>
    <row r="722" ht="12.75" customHeight="1" x14ac:dyDescent="0.15"/>
    <row r="723" ht="12.75" customHeight="1" x14ac:dyDescent="0.15"/>
    <row r="724" ht="12.75" customHeight="1" x14ac:dyDescent="0.15"/>
    <row r="725" ht="12.75" customHeight="1" x14ac:dyDescent="0.15"/>
    <row r="726" ht="12.75" customHeight="1" x14ac:dyDescent="0.15"/>
    <row r="727" ht="12.75" customHeight="1" x14ac:dyDescent="0.15"/>
    <row r="728" ht="12.75" customHeight="1" x14ac:dyDescent="0.15"/>
    <row r="729" ht="12.75" customHeight="1" x14ac:dyDescent="0.15"/>
    <row r="730" ht="12.75" customHeight="1" x14ac:dyDescent="0.15"/>
    <row r="731" ht="12.75" customHeight="1" x14ac:dyDescent="0.15"/>
    <row r="732" ht="12.75" customHeight="1" x14ac:dyDescent="0.15"/>
    <row r="733" ht="12.75" customHeight="1" x14ac:dyDescent="0.15"/>
    <row r="734" ht="12.75" customHeight="1" x14ac:dyDescent="0.15"/>
    <row r="735" ht="12.75" customHeight="1" x14ac:dyDescent="0.15"/>
    <row r="736" ht="12.75" customHeight="1" x14ac:dyDescent="0.15"/>
    <row r="737" ht="12.75" customHeight="1" x14ac:dyDescent="0.15"/>
    <row r="738" ht="12.75" customHeight="1" x14ac:dyDescent="0.15"/>
    <row r="739" ht="12.75" customHeight="1" x14ac:dyDescent="0.15"/>
    <row r="740" ht="12.75" customHeight="1" x14ac:dyDescent="0.15"/>
    <row r="741" ht="12.75" customHeight="1" x14ac:dyDescent="0.15"/>
    <row r="742" ht="12.75" customHeight="1" x14ac:dyDescent="0.15"/>
    <row r="743" ht="12.75" customHeight="1" x14ac:dyDescent="0.15"/>
    <row r="744" ht="12.75" customHeight="1" x14ac:dyDescent="0.15"/>
    <row r="745" ht="12.75" customHeight="1" x14ac:dyDescent="0.15"/>
    <row r="746" ht="12.75" customHeight="1" x14ac:dyDescent="0.15"/>
    <row r="747" ht="12.75" customHeight="1" x14ac:dyDescent="0.15"/>
    <row r="748" ht="12.75" customHeight="1" x14ac:dyDescent="0.15"/>
    <row r="749" ht="12.75" customHeight="1" x14ac:dyDescent="0.15"/>
    <row r="750" ht="12.75" customHeight="1" x14ac:dyDescent="0.15"/>
    <row r="751" ht="12.75" customHeight="1" x14ac:dyDescent="0.15"/>
    <row r="752" ht="12.75" customHeight="1" x14ac:dyDescent="0.15"/>
    <row r="753" ht="12.75" customHeight="1" x14ac:dyDescent="0.15"/>
    <row r="754" ht="12.75" customHeight="1" x14ac:dyDescent="0.15"/>
    <row r="755" ht="12.75" customHeight="1" x14ac:dyDescent="0.15"/>
    <row r="756" ht="12.75" customHeight="1" x14ac:dyDescent="0.15"/>
    <row r="757" ht="12.75" customHeight="1" x14ac:dyDescent="0.15"/>
    <row r="758" ht="12.75" customHeight="1" x14ac:dyDescent="0.15"/>
    <row r="759" ht="12.75" customHeight="1" x14ac:dyDescent="0.15"/>
    <row r="760" ht="12.75" customHeight="1" x14ac:dyDescent="0.15"/>
    <row r="761" ht="12.75" customHeight="1" x14ac:dyDescent="0.15"/>
    <row r="762" ht="12.75" customHeight="1" x14ac:dyDescent="0.15"/>
    <row r="763" ht="12.75" customHeight="1" x14ac:dyDescent="0.15"/>
    <row r="764" ht="12.75" customHeight="1" x14ac:dyDescent="0.15"/>
    <row r="765" ht="12.75" customHeight="1" x14ac:dyDescent="0.15"/>
    <row r="766" ht="12.75" customHeight="1" x14ac:dyDescent="0.15"/>
    <row r="767" ht="12.75" customHeight="1" x14ac:dyDescent="0.15"/>
    <row r="768" ht="12.75" customHeight="1" x14ac:dyDescent="0.15"/>
    <row r="769" ht="12.75" customHeight="1" x14ac:dyDescent="0.15"/>
    <row r="770" ht="12.75" customHeight="1" x14ac:dyDescent="0.15"/>
    <row r="771" ht="12.75" customHeight="1" x14ac:dyDescent="0.15"/>
    <row r="772" ht="12.75" customHeight="1" x14ac:dyDescent="0.15"/>
    <row r="773" ht="12.75" customHeight="1" x14ac:dyDescent="0.15"/>
    <row r="774" ht="12.75" customHeight="1" x14ac:dyDescent="0.15"/>
    <row r="775" ht="12.75" customHeight="1" x14ac:dyDescent="0.15"/>
    <row r="776" ht="12.75" customHeight="1" x14ac:dyDescent="0.15"/>
    <row r="777" ht="12.75" customHeight="1" x14ac:dyDescent="0.15"/>
    <row r="778" ht="12.75" customHeight="1" x14ac:dyDescent="0.15"/>
    <row r="779" ht="12.75" customHeight="1" x14ac:dyDescent="0.15"/>
    <row r="780" ht="12.75" customHeight="1" x14ac:dyDescent="0.15"/>
    <row r="781" ht="12.75" customHeight="1" x14ac:dyDescent="0.15"/>
    <row r="782" ht="12.75" customHeight="1" x14ac:dyDescent="0.15"/>
    <row r="783" ht="12.75" customHeight="1" x14ac:dyDescent="0.15"/>
    <row r="784" ht="12.75" customHeight="1" x14ac:dyDescent="0.15"/>
    <row r="785" ht="12.75" customHeight="1" x14ac:dyDescent="0.15"/>
    <row r="786" ht="12.75" customHeight="1" x14ac:dyDescent="0.15"/>
    <row r="787" ht="12.75" customHeight="1" x14ac:dyDescent="0.15"/>
    <row r="788" ht="12.75" customHeight="1" x14ac:dyDescent="0.15"/>
    <row r="789" ht="12.75" customHeight="1" x14ac:dyDescent="0.15"/>
    <row r="790" ht="12.75" customHeight="1" x14ac:dyDescent="0.15"/>
    <row r="791" ht="12.75" customHeight="1" x14ac:dyDescent="0.15"/>
    <row r="792" ht="12.75" customHeight="1" x14ac:dyDescent="0.15"/>
    <row r="793" ht="12.75" customHeight="1" x14ac:dyDescent="0.15"/>
    <row r="794" ht="12.75" customHeight="1" x14ac:dyDescent="0.15"/>
    <row r="795" ht="12.75" customHeight="1" x14ac:dyDescent="0.15"/>
    <row r="796" ht="12.75" customHeight="1" x14ac:dyDescent="0.15"/>
    <row r="797" ht="12.75" customHeight="1" x14ac:dyDescent="0.15"/>
    <row r="798" ht="12.75" customHeight="1" x14ac:dyDescent="0.15"/>
    <row r="799" ht="12.75" customHeight="1" x14ac:dyDescent="0.15"/>
    <row r="800" ht="12.75" customHeight="1" x14ac:dyDescent="0.15"/>
    <row r="801" ht="12.75" customHeight="1" x14ac:dyDescent="0.15"/>
    <row r="802" ht="12.75" customHeight="1" x14ac:dyDescent="0.15"/>
    <row r="803" ht="12.75" customHeight="1" x14ac:dyDescent="0.15"/>
    <row r="804" ht="12.75" customHeight="1" x14ac:dyDescent="0.15"/>
    <row r="805" ht="12.75" customHeight="1" x14ac:dyDescent="0.15"/>
    <row r="806" ht="12.75" customHeight="1" x14ac:dyDescent="0.15"/>
    <row r="807" ht="12.75" customHeight="1" x14ac:dyDescent="0.15"/>
    <row r="808" ht="12.75" customHeight="1" x14ac:dyDescent="0.15"/>
    <row r="809" ht="12.75" customHeight="1" x14ac:dyDescent="0.15"/>
    <row r="810" ht="12.75" customHeight="1" x14ac:dyDescent="0.15"/>
    <row r="811" ht="12.75" customHeight="1" x14ac:dyDescent="0.15"/>
    <row r="812" ht="12.75" customHeight="1" x14ac:dyDescent="0.15"/>
    <row r="813" ht="12.75" customHeight="1" x14ac:dyDescent="0.15"/>
    <row r="814" ht="12.75" customHeight="1" x14ac:dyDescent="0.15"/>
    <row r="815" ht="12.75" customHeight="1" x14ac:dyDescent="0.15"/>
    <row r="816" ht="12.75" customHeight="1" x14ac:dyDescent="0.15"/>
    <row r="817" ht="12.75" customHeight="1" x14ac:dyDescent="0.15"/>
    <row r="818" ht="12.75" customHeight="1" x14ac:dyDescent="0.15"/>
    <row r="819" ht="12.75" customHeight="1" x14ac:dyDescent="0.15"/>
    <row r="820" ht="12.75" customHeight="1" x14ac:dyDescent="0.15"/>
    <row r="821" ht="12.75" customHeight="1" x14ac:dyDescent="0.15"/>
    <row r="822" ht="12.75" customHeight="1" x14ac:dyDescent="0.15"/>
    <row r="823" ht="12.75" customHeight="1" x14ac:dyDescent="0.15"/>
    <row r="824" ht="12.75" customHeight="1" x14ac:dyDescent="0.15"/>
    <row r="825" ht="12.75" customHeight="1" x14ac:dyDescent="0.15"/>
    <row r="826" ht="12.75" customHeight="1" x14ac:dyDescent="0.15"/>
    <row r="827" ht="12.75" customHeight="1" x14ac:dyDescent="0.15"/>
    <row r="828" ht="12.75" customHeight="1" x14ac:dyDescent="0.15"/>
    <row r="829" ht="12.75" customHeight="1" x14ac:dyDescent="0.15"/>
    <row r="830" ht="12.75" customHeight="1" x14ac:dyDescent="0.15"/>
    <row r="831" ht="12.75" customHeight="1" x14ac:dyDescent="0.15"/>
    <row r="832" ht="12.75" customHeight="1" x14ac:dyDescent="0.15"/>
    <row r="833" ht="12.75" customHeight="1" x14ac:dyDescent="0.15"/>
    <row r="834" ht="12.75" customHeight="1" x14ac:dyDescent="0.15"/>
    <row r="835" ht="12.75" customHeight="1" x14ac:dyDescent="0.15"/>
    <row r="836" ht="12.75" customHeight="1" x14ac:dyDescent="0.15"/>
    <row r="837" ht="12.75" customHeight="1" x14ac:dyDescent="0.15"/>
    <row r="838" ht="12.75" customHeight="1" x14ac:dyDescent="0.15"/>
    <row r="839" ht="12.75" customHeight="1" x14ac:dyDescent="0.15"/>
    <row r="840" ht="12.75" customHeight="1" x14ac:dyDescent="0.15"/>
    <row r="841" ht="12.75" customHeight="1" x14ac:dyDescent="0.15"/>
    <row r="842" ht="12.75" customHeight="1" x14ac:dyDescent="0.15"/>
    <row r="843" ht="12.75" customHeight="1" x14ac:dyDescent="0.15"/>
    <row r="844" ht="12.75" customHeight="1" x14ac:dyDescent="0.15"/>
    <row r="845" ht="12.75" customHeight="1" x14ac:dyDescent="0.15"/>
    <row r="846" ht="12.75" customHeight="1" x14ac:dyDescent="0.15"/>
    <row r="847" ht="12.75" customHeight="1" x14ac:dyDescent="0.15"/>
    <row r="848" ht="12.75" customHeight="1" x14ac:dyDescent="0.15"/>
    <row r="849" ht="12.75" customHeight="1" x14ac:dyDescent="0.15"/>
    <row r="850" ht="12.75" customHeight="1" x14ac:dyDescent="0.15"/>
    <row r="851" ht="12.75" customHeight="1" x14ac:dyDescent="0.15"/>
    <row r="852" ht="12.75" customHeight="1" x14ac:dyDescent="0.15"/>
    <row r="853" ht="12.75" customHeight="1" x14ac:dyDescent="0.15"/>
    <row r="854" ht="12.75" customHeight="1" x14ac:dyDescent="0.15"/>
    <row r="855" ht="12.75" customHeight="1" x14ac:dyDescent="0.15"/>
    <row r="856" ht="12.75" customHeight="1" x14ac:dyDescent="0.15"/>
    <row r="857" ht="12.75" customHeight="1" x14ac:dyDescent="0.15"/>
    <row r="858" ht="12.75" customHeight="1" x14ac:dyDescent="0.15"/>
    <row r="859" ht="12.75" customHeight="1" x14ac:dyDescent="0.15"/>
    <row r="860" ht="12.75" customHeight="1" x14ac:dyDescent="0.15"/>
    <row r="861" ht="12.75" customHeight="1" x14ac:dyDescent="0.15"/>
    <row r="862" ht="12.75" customHeight="1" x14ac:dyDescent="0.15"/>
    <row r="863" ht="12.75" customHeight="1" x14ac:dyDescent="0.15"/>
    <row r="864" ht="12.75" customHeight="1" x14ac:dyDescent="0.15"/>
    <row r="865" ht="12.75" customHeight="1" x14ac:dyDescent="0.15"/>
    <row r="866" ht="12.75" customHeight="1" x14ac:dyDescent="0.15"/>
    <row r="867" ht="12.75" customHeight="1" x14ac:dyDescent="0.15"/>
    <row r="868" ht="12.75" customHeight="1" x14ac:dyDescent="0.15"/>
    <row r="869" ht="12.75" customHeight="1" x14ac:dyDescent="0.15"/>
    <row r="870" ht="12.75" customHeight="1" x14ac:dyDescent="0.15"/>
    <row r="871" ht="12.75" customHeight="1" x14ac:dyDescent="0.15"/>
    <row r="872" ht="12.75" customHeight="1" x14ac:dyDescent="0.15"/>
    <row r="873" ht="12.75" customHeight="1" x14ac:dyDescent="0.15"/>
    <row r="874" ht="12.75" customHeight="1" x14ac:dyDescent="0.15"/>
    <row r="875" ht="12.75" customHeight="1" x14ac:dyDescent="0.15"/>
    <row r="876" ht="12.75" customHeight="1" x14ac:dyDescent="0.15"/>
    <row r="877" ht="12.75" customHeight="1" x14ac:dyDescent="0.15"/>
    <row r="878" ht="12.75" customHeight="1" x14ac:dyDescent="0.15"/>
    <row r="879" ht="12.75" customHeight="1" x14ac:dyDescent="0.15"/>
    <row r="880" ht="12.75" customHeight="1" x14ac:dyDescent="0.15"/>
    <row r="881" ht="12.75" customHeight="1" x14ac:dyDescent="0.15"/>
    <row r="882" ht="12.75" customHeight="1" x14ac:dyDescent="0.15"/>
    <row r="883" ht="12.75" customHeight="1" x14ac:dyDescent="0.15"/>
    <row r="884" ht="12.75" customHeight="1" x14ac:dyDescent="0.15"/>
    <row r="885" ht="12.75" customHeight="1" x14ac:dyDescent="0.15"/>
    <row r="886" ht="12.75" customHeight="1" x14ac:dyDescent="0.15"/>
    <row r="887" ht="12.75" customHeight="1" x14ac:dyDescent="0.15"/>
    <row r="888" ht="12.75" customHeight="1" x14ac:dyDescent="0.15"/>
    <row r="889" ht="12.75" customHeight="1" x14ac:dyDescent="0.15"/>
    <row r="890" ht="12.75" customHeight="1" x14ac:dyDescent="0.15"/>
    <row r="891" ht="12.75" customHeight="1" x14ac:dyDescent="0.15"/>
    <row r="892" ht="12.75" customHeight="1" x14ac:dyDescent="0.15"/>
    <row r="893" ht="12.75" customHeight="1" x14ac:dyDescent="0.15"/>
    <row r="894" ht="12.75" customHeight="1" x14ac:dyDescent="0.15"/>
    <row r="895" ht="12.75" customHeight="1" x14ac:dyDescent="0.15"/>
    <row r="896" ht="12.75" customHeight="1" x14ac:dyDescent="0.15"/>
    <row r="897" ht="12.75" customHeight="1" x14ac:dyDescent="0.15"/>
    <row r="898" ht="12.75" customHeight="1" x14ac:dyDescent="0.15"/>
    <row r="899" ht="12.75" customHeight="1" x14ac:dyDescent="0.15"/>
    <row r="900" ht="12.75" customHeight="1" x14ac:dyDescent="0.15"/>
    <row r="901" ht="12.75" customHeight="1" x14ac:dyDescent="0.15"/>
    <row r="902" ht="12.75" customHeight="1" x14ac:dyDescent="0.15"/>
    <row r="903" ht="12.75" customHeight="1" x14ac:dyDescent="0.15"/>
    <row r="904" ht="12.75" customHeight="1" x14ac:dyDescent="0.15"/>
    <row r="905" ht="12.75" customHeight="1" x14ac:dyDescent="0.15"/>
    <row r="906" ht="12.75" customHeight="1" x14ac:dyDescent="0.15"/>
    <row r="907" ht="12.75" customHeight="1" x14ac:dyDescent="0.15"/>
    <row r="908" ht="12.75" customHeight="1" x14ac:dyDescent="0.15"/>
    <row r="909" ht="12.75" customHeight="1" x14ac:dyDescent="0.15"/>
    <row r="910" ht="12.75" customHeight="1" x14ac:dyDescent="0.15"/>
    <row r="911" ht="12.75" customHeight="1" x14ac:dyDescent="0.15"/>
    <row r="912" ht="12.75" customHeight="1" x14ac:dyDescent="0.15"/>
    <row r="913" ht="12.75" customHeight="1" x14ac:dyDescent="0.15"/>
    <row r="914" ht="12.75" customHeight="1" x14ac:dyDescent="0.15"/>
    <row r="915" ht="12.75" customHeight="1" x14ac:dyDescent="0.15"/>
    <row r="916" ht="12.75" customHeight="1" x14ac:dyDescent="0.15"/>
    <row r="917" ht="12.75" customHeight="1" x14ac:dyDescent="0.15"/>
    <row r="918" ht="12.75" customHeight="1" x14ac:dyDescent="0.15"/>
    <row r="919" ht="12.75" customHeight="1" x14ac:dyDescent="0.15"/>
    <row r="920" ht="12.75" customHeight="1" x14ac:dyDescent="0.15"/>
    <row r="921" ht="12.75" customHeight="1" x14ac:dyDescent="0.15"/>
    <row r="922" ht="12.75" customHeight="1" x14ac:dyDescent="0.15"/>
    <row r="923" ht="12.75" customHeight="1" x14ac:dyDescent="0.15"/>
    <row r="924" ht="12.75" customHeight="1" x14ac:dyDescent="0.15"/>
    <row r="925" ht="12.75" customHeight="1" x14ac:dyDescent="0.15"/>
    <row r="926" ht="12.75" customHeight="1" x14ac:dyDescent="0.15"/>
    <row r="927" ht="12.75" customHeight="1" x14ac:dyDescent="0.15"/>
    <row r="928" ht="12.75" customHeight="1" x14ac:dyDescent="0.15"/>
    <row r="929" ht="12.75" customHeight="1" x14ac:dyDescent="0.15"/>
    <row r="930" ht="12.75" customHeight="1" x14ac:dyDescent="0.15"/>
    <row r="931" ht="12.75" customHeight="1" x14ac:dyDescent="0.15"/>
    <row r="932" ht="12.75" customHeight="1" x14ac:dyDescent="0.15"/>
    <row r="933" ht="12.75" customHeight="1" x14ac:dyDescent="0.15"/>
    <row r="934" ht="12.75" customHeight="1" x14ac:dyDescent="0.15"/>
    <row r="935" ht="12.75" customHeight="1" x14ac:dyDescent="0.15"/>
    <row r="936" ht="12.75" customHeight="1" x14ac:dyDescent="0.15"/>
    <row r="937" ht="12.75" customHeight="1" x14ac:dyDescent="0.15"/>
    <row r="938" ht="12.75" customHeight="1" x14ac:dyDescent="0.15"/>
    <row r="939" ht="12.75" customHeight="1" x14ac:dyDescent="0.15"/>
    <row r="940" ht="12.75" customHeight="1" x14ac:dyDescent="0.15"/>
    <row r="941" ht="12.75" customHeight="1" x14ac:dyDescent="0.15"/>
    <row r="942" ht="12.75" customHeight="1" x14ac:dyDescent="0.15"/>
    <row r="943" ht="12.75" customHeight="1" x14ac:dyDescent="0.15"/>
    <row r="944" ht="12.75" customHeight="1" x14ac:dyDescent="0.15"/>
    <row r="945" ht="12.75" customHeight="1" x14ac:dyDescent="0.15"/>
    <row r="946" ht="12.75" customHeight="1" x14ac:dyDescent="0.15"/>
    <row r="947" ht="12.75" customHeight="1" x14ac:dyDescent="0.15"/>
    <row r="948" ht="12.75" customHeight="1" x14ac:dyDescent="0.15"/>
    <row r="949" ht="12.75" customHeight="1" x14ac:dyDescent="0.15"/>
    <row r="950" ht="12.75" customHeight="1" x14ac:dyDescent="0.15"/>
    <row r="951" ht="12.75" customHeight="1" x14ac:dyDescent="0.15"/>
    <row r="952" ht="12.75" customHeight="1" x14ac:dyDescent="0.15"/>
    <row r="953" ht="12.75" customHeight="1" x14ac:dyDescent="0.15"/>
    <row r="954" ht="12.75" customHeight="1" x14ac:dyDescent="0.15"/>
    <row r="955" ht="12.75" customHeight="1" x14ac:dyDescent="0.15"/>
    <row r="956" ht="12.75" customHeight="1" x14ac:dyDescent="0.15"/>
    <row r="957" ht="12.75" customHeight="1" x14ac:dyDescent="0.15"/>
    <row r="958" ht="12.75" customHeight="1" x14ac:dyDescent="0.15"/>
    <row r="959" ht="12.75" customHeight="1" x14ac:dyDescent="0.15"/>
    <row r="960" ht="12.75" customHeight="1" x14ac:dyDescent="0.15"/>
    <row r="961" ht="12.75" customHeight="1" x14ac:dyDescent="0.15"/>
    <row r="962" ht="12.75" customHeight="1" x14ac:dyDescent="0.15"/>
    <row r="963" ht="12.75" customHeight="1" x14ac:dyDescent="0.15"/>
    <row r="964" ht="12.75" customHeight="1" x14ac:dyDescent="0.15"/>
    <row r="965" ht="12.75" customHeight="1" x14ac:dyDescent="0.15"/>
    <row r="966" ht="12.75" customHeight="1" x14ac:dyDescent="0.15"/>
    <row r="967" ht="12.75" customHeight="1" x14ac:dyDescent="0.15"/>
    <row r="968" ht="12.75" customHeight="1" x14ac:dyDescent="0.15"/>
    <row r="969" ht="12.75" customHeight="1" x14ac:dyDescent="0.15"/>
    <row r="970" ht="12.75" customHeight="1" x14ac:dyDescent="0.15"/>
    <row r="971" ht="12.75" customHeight="1" x14ac:dyDescent="0.15"/>
    <row r="972" ht="12.75" customHeight="1" x14ac:dyDescent="0.15"/>
    <row r="973" ht="12.75" customHeight="1" x14ac:dyDescent="0.15"/>
    <row r="974" ht="12.75" customHeight="1" x14ac:dyDescent="0.15"/>
    <row r="975" ht="12.75" customHeight="1" x14ac:dyDescent="0.15"/>
    <row r="976" ht="12.75" customHeight="1" x14ac:dyDescent="0.15"/>
    <row r="977" ht="12.75" customHeight="1" x14ac:dyDescent="0.15"/>
    <row r="978" ht="12.75" customHeight="1" x14ac:dyDescent="0.15"/>
    <row r="979" ht="12.75" customHeight="1" x14ac:dyDescent="0.15"/>
    <row r="980" ht="12.75" customHeight="1" x14ac:dyDescent="0.15"/>
    <row r="981" ht="12.75" customHeight="1" x14ac:dyDescent="0.15"/>
    <row r="982" ht="12.75" customHeight="1" x14ac:dyDescent="0.15"/>
    <row r="983" ht="12.75" customHeight="1" x14ac:dyDescent="0.15"/>
    <row r="984" ht="12.75" customHeight="1" x14ac:dyDescent="0.15"/>
    <row r="985" ht="12.75" customHeight="1" x14ac:dyDescent="0.15"/>
    <row r="986" ht="12.75" customHeight="1" x14ac:dyDescent="0.15"/>
    <row r="987" ht="12.75" customHeight="1" x14ac:dyDescent="0.15"/>
    <row r="988" ht="12.75" customHeight="1" x14ac:dyDescent="0.15"/>
    <row r="989" ht="12.75" customHeight="1" x14ac:dyDescent="0.15"/>
    <row r="990" ht="12.75" customHeight="1" x14ac:dyDescent="0.15"/>
    <row r="991" ht="12.75" customHeight="1" x14ac:dyDescent="0.15"/>
    <row r="992" ht="12.75" customHeight="1" x14ac:dyDescent="0.15"/>
    <row r="993" ht="12.75" customHeight="1" x14ac:dyDescent="0.15"/>
    <row r="994" ht="12.75" customHeight="1" x14ac:dyDescent="0.15"/>
    <row r="995" ht="12.75" customHeight="1" x14ac:dyDescent="0.15"/>
    <row r="996" ht="12.75" customHeight="1" x14ac:dyDescent="0.15"/>
    <row r="997" ht="12.75" customHeight="1" x14ac:dyDescent="0.15"/>
    <row r="998" ht="12.75" customHeight="1" x14ac:dyDescent="0.15"/>
    <row r="999" ht="12.75" customHeight="1" x14ac:dyDescent="0.15"/>
    <row r="1000" ht="12.75" customHeight="1" x14ac:dyDescent="0.15"/>
  </sheetData>
  <mergeCells count="259">
    <mergeCell ref="L2:M2"/>
    <mergeCell ref="H9:H10"/>
    <mergeCell ref="R13:R14"/>
    <mergeCell ref="Q25:X25"/>
    <mergeCell ref="J9:J10"/>
    <mergeCell ref="B22:C22"/>
    <mergeCell ref="D22:E22"/>
    <mergeCell ref="M7:M8"/>
    <mergeCell ref="R15:R16"/>
    <mergeCell ref="H11:H12"/>
    <mergeCell ref="N22:O22"/>
    <mergeCell ref="J11:J12"/>
    <mergeCell ref="P22:Q22"/>
    <mergeCell ref="L5:L6"/>
    <mergeCell ref="L3:M3"/>
    <mergeCell ref="N5:N6"/>
    <mergeCell ref="N3:O3"/>
    <mergeCell ref="B3:C3"/>
    <mergeCell ref="T2:U2"/>
    <mergeCell ref="J22:K22"/>
    <mergeCell ref="N15:N16"/>
    <mergeCell ref="L22:M22"/>
    <mergeCell ref="F11:F12"/>
    <mergeCell ref="H3:I3"/>
    <mergeCell ref="B13:B14"/>
    <mergeCell ref="D13:D14"/>
    <mergeCell ref="D7:D8"/>
    <mergeCell ref="I17:I18"/>
    <mergeCell ref="O26:P26"/>
    <mergeCell ref="P7:P8"/>
    <mergeCell ref="B15:B16"/>
    <mergeCell ref="G5:G6"/>
    <mergeCell ref="D15:D16"/>
    <mergeCell ref="F13:F14"/>
    <mergeCell ref="H13:H14"/>
    <mergeCell ref="O25:P25"/>
    <mergeCell ref="M17:M18"/>
    <mergeCell ref="H15:H16"/>
    <mergeCell ref="O5:O6"/>
    <mergeCell ref="C17:C18"/>
    <mergeCell ref="C5:C6"/>
    <mergeCell ref="E5:E6"/>
    <mergeCell ref="D26:F27"/>
    <mergeCell ref="A20:AB20"/>
    <mergeCell ref="M15:M16"/>
    <mergeCell ref="K11:K12"/>
    <mergeCell ref="N17:N18"/>
    <mergeCell ref="S13:S14"/>
    <mergeCell ref="A28:F32"/>
    <mergeCell ref="T15:T16"/>
    <mergeCell ref="K9:K10"/>
    <mergeCell ref="M9:M10"/>
    <mergeCell ref="W13:W14"/>
    <mergeCell ref="O9:O10"/>
    <mergeCell ref="I15:I16"/>
    <mergeCell ref="F7:F8"/>
    <mergeCell ref="K15:K16"/>
    <mergeCell ref="U15:U16"/>
    <mergeCell ref="W15:W16"/>
    <mergeCell ref="P9:P10"/>
    <mergeCell ref="E13:E14"/>
    <mergeCell ref="G13:G14"/>
    <mergeCell ref="B17:B18"/>
    <mergeCell ref="O23:X23"/>
    <mergeCell ref="T17:T18"/>
    <mergeCell ref="V11:V12"/>
    <mergeCell ref="X31:AB32"/>
    <mergeCell ref="D9:D10"/>
    <mergeCell ref="N13:N14"/>
    <mergeCell ref="P13:P14"/>
    <mergeCell ref="K17:K18"/>
    <mergeCell ref="F9:F10"/>
    <mergeCell ref="B1:G1"/>
    <mergeCell ref="D17:D18"/>
    <mergeCell ref="B11:B12"/>
    <mergeCell ref="G7:G8"/>
    <mergeCell ref="I7:I8"/>
    <mergeCell ref="D11:D12"/>
    <mergeCell ref="F5:F6"/>
    <mergeCell ref="AB9:AB10"/>
    <mergeCell ref="AA15:AA16"/>
    <mergeCell ref="Y2:AB3"/>
    <mergeCell ref="S7:S8"/>
    <mergeCell ref="P11:P12"/>
    <mergeCell ref="U7:U8"/>
    <mergeCell ref="T9:T10"/>
    <mergeCell ref="W7:W8"/>
    <mergeCell ref="V2:X3"/>
    <mergeCell ref="B2:C2"/>
    <mergeCell ref="V9:V10"/>
    <mergeCell ref="D2:E2"/>
    <mergeCell ref="H17:H18"/>
    <mergeCell ref="M13:M14"/>
    <mergeCell ref="N2:O2"/>
    <mergeCell ref="R17:R18"/>
    <mergeCell ref="P2:Q2"/>
    <mergeCell ref="W5:W6"/>
    <mergeCell ref="Y9:Y10"/>
    <mergeCell ref="Y5:Y6"/>
    <mergeCell ref="AA9:AA10"/>
    <mergeCell ref="M11:M12"/>
    <mergeCell ref="R7:R8"/>
    <mergeCell ref="T7:T8"/>
    <mergeCell ref="V7:V8"/>
    <mergeCell ref="Q11:Q12"/>
    <mergeCell ref="Y7:Y8"/>
    <mergeCell ref="AA7:AA8"/>
    <mergeCell ref="W11:W12"/>
    <mergeCell ref="T11:T12"/>
    <mergeCell ref="Q5:Q6"/>
    <mergeCell ref="X5:X6"/>
    <mergeCell ref="Z5:Z6"/>
    <mergeCell ref="Y11:Y12"/>
    <mergeCell ref="AA5:AA6"/>
    <mergeCell ref="Z11:Z12"/>
    <mergeCell ref="P17:P18"/>
    <mergeCell ref="B9:B10"/>
    <mergeCell ref="C7:C8"/>
    <mergeCell ref="H22:I22"/>
    <mergeCell ref="O7:O8"/>
    <mergeCell ref="AA21:AB21"/>
    <mergeCell ref="Y26:Z27"/>
    <mergeCell ref="T5:T6"/>
    <mergeCell ref="Y17:Y18"/>
    <mergeCell ref="G9:G10"/>
    <mergeCell ref="Z15:Z16"/>
    <mergeCell ref="AB15:AB16"/>
    <mergeCell ref="I9:I10"/>
    <mergeCell ref="AA17:AA18"/>
    <mergeCell ref="U9:U10"/>
    <mergeCell ref="B7:B8"/>
    <mergeCell ref="G26:K27"/>
    <mergeCell ref="G15:G16"/>
    <mergeCell ref="E9:E10"/>
    <mergeCell ref="X7:X8"/>
    <mergeCell ref="Z7:Z8"/>
    <mergeCell ref="Q7:Q8"/>
    <mergeCell ref="AB7:AB8"/>
    <mergeCell ref="U11:U12"/>
    <mergeCell ref="Q24:R24"/>
    <mergeCell ref="Y13:Y14"/>
    <mergeCell ref="H2:I2"/>
    <mergeCell ref="L9:L10"/>
    <mergeCell ref="N9:N10"/>
    <mergeCell ref="O11:O12"/>
    <mergeCell ref="X9:X10"/>
    <mergeCell ref="E7:E8"/>
    <mergeCell ref="F22:G22"/>
    <mergeCell ref="J3:K3"/>
    <mergeCell ref="G11:G12"/>
    <mergeCell ref="L7:L8"/>
    <mergeCell ref="N7:N8"/>
    <mergeCell ref="I11:I12"/>
    <mergeCell ref="K5:K6"/>
    <mergeCell ref="M5:M6"/>
    <mergeCell ref="S11:S12"/>
    <mergeCell ref="T13:T14"/>
    <mergeCell ref="O17:O18"/>
    <mergeCell ref="Q17:Q18"/>
    <mergeCell ref="V21:X21"/>
    <mergeCell ref="Y15:Y16"/>
    <mergeCell ref="W17:W18"/>
    <mergeCell ref="T22:U22"/>
    <mergeCell ref="F2:G2"/>
    <mergeCell ref="X28:AB30"/>
    <mergeCell ref="AB17:AB18"/>
    <mergeCell ref="G23:N25"/>
    <mergeCell ref="AB11:AB12"/>
    <mergeCell ref="Q15:Q16"/>
    <mergeCell ref="S15:S16"/>
    <mergeCell ref="Y22:Z22"/>
    <mergeCell ref="Q26:X26"/>
    <mergeCell ref="AA26:AB27"/>
    <mergeCell ref="AA23:AB24"/>
    <mergeCell ref="Y25:Z25"/>
    <mergeCell ref="AA25:AB25"/>
    <mergeCell ref="AA22:AB22"/>
    <mergeCell ref="Z13:Z14"/>
    <mergeCell ref="AB13:AB14"/>
    <mergeCell ref="P15:P16"/>
    <mergeCell ref="Y21:Z21"/>
    <mergeCell ref="V22:X22"/>
    <mergeCell ref="Y23:Z24"/>
    <mergeCell ref="J15:J16"/>
    <mergeCell ref="L15:L16"/>
    <mergeCell ref="O27:X27"/>
    <mergeCell ref="O24:P24"/>
    <mergeCell ref="D3:E3"/>
    <mergeCell ref="L11:L12"/>
    <mergeCell ref="R22:S22"/>
    <mergeCell ref="A26:C27"/>
    <mergeCell ref="N11:N12"/>
    <mergeCell ref="H1:J1"/>
    <mergeCell ref="P5:P6"/>
    <mergeCell ref="R9:R10"/>
    <mergeCell ref="P3:Q3"/>
    <mergeCell ref="R5:R6"/>
    <mergeCell ref="H5:H6"/>
    <mergeCell ref="J5:J6"/>
    <mergeCell ref="J2:K2"/>
    <mergeCell ref="L26:N27"/>
    <mergeCell ref="R11:R12"/>
    <mergeCell ref="S1:V1"/>
    <mergeCell ref="C9:C10"/>
    <mergeCell ref="Q9:Q10"/>
    <mergeCell ref="S9:S10"/>
    <mergeCell ref="K1:R1"/>
    <mergeCell ref="U13:U14"/>
    <mergeCell ref="F17:F18"/>
    <mergeCell ref="E15:E16"/>
    <mergeCell ref="U17:U18"/>
    <mergeCell ref="O15:O16"/>
    <mergeCell ref="F3:G3"/>
    <mergeCell ref="V15:V16"/>
    <mergeCell ref="X15:X16"/>
    <mergeCell ref="Z17:Z18"/>
    <mergeCell ref="W1:AA1"/>
    <mergeCell ref="C11:C12"/>
    <mergeCell ref="H7:H8"/>
    <mergeCell ref="E11:E12"/>
    <mergeCell ref="J7:J8"/>
    <mergeCell ref="I5:I6"/>
    <mergeCell ref="S5:S6"/>
    <mergeCell ref="U5:U6"/>
    <mergeCell ref="W9:W10"/>
    <mergeCell ref="I13:I14"/>
    <mergeCell ref="K13:K14"/>
    <mergeCell ref="K7:K8"/>
    <mergeCell ref="R3:S3"/>
    <mergeCell ref="R2:S2"/>
    <mergeCell ref="T3:U3"/>
    <mergeCell ref="V5:V6"/>
    <mergeCell ref="V13:V14"/>
    <mergeCell ref="X13:X14"/>
    <mergeCell ref="S17:S18"/>
    <mergeCell ref="D23:F25"/>
    <mergeCell ref="A23:C25"/>
    <mergeCell ref="AB5:AB6"/>
    <mergeCell ref="F15:F16"/>
    <mergeCell ref="E17:E18"/>
    <mergeCell ref="J13:J14"/>
    <mergeCell ref="G17:G18"/>
    <mergeCell ref="L13:L14"/>
    <mergeCell ref="G28:W32"/>
    <mergeCell ref="B5:B6"/>
    <mergeCell ref="C13:C14"/>
    <mergeCell ref="T24:V24"/>
    <mergeCell ref="D5:D6"/>
    <mergeCell ref="Z9:Z10"/>
    <mergeCell ref="J17:J18"/>
    <mergeCell ref="O13:O14"/>
    <mergeCell ref="AA11:AA12"/>
    <mergeCell ref="L17:L18"/>
    <mergeCell ref="Q13:Q14"/>
    <mergeCell ref="AA13:AA14"/>
    <mergeCell ref="V17:V18"/>
    <mergeCell ref="C15:C16"/>
    <mergeCell ref="X17:X18"/>
    <mergeCell ref="X11:X12"/>
  </mergeCells>
  <printOptions horizontalCentered="1" verticalCentered="1"/>
  <pageMargins left="0.23622047244094491" right="0.23622047244094491" top="0.55118110236220474" bottom="0.74803149606299213" header="0" footer="0"/>
  <pageSetup paperSize="9" scale="94" orientation="landscape" r:id="rId1"/>
  <headerFooter>
    <oddHeader>&amp;C&amp;A</oddHeader>
    <oddFooter>&amp;CPage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.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hughes</dc:creator>
  <cp:lastModifiedBy>David Hughes</cp:lastModifiedBy>
  <cp:lastPrinted>2026-08-17T08:43:41Z</cp:lastPrinted>
  <dcterms:created xsi:type="dcterms:W3CDTF">2026-08-17T00:46:55Z</dcterms:created>
  <dcterms:modified xsi:type="dcterms:W3CDTF">2026-08-17T13:37:13Z</dcterms:modified>
</cp:coreProperties>
</file>